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officeDocument/2006/relationships">
  <workbookPr/>
  <sheets>
    <sheet state="visible" name="Inicio" sheetId="1" ns1:id="rId5"/>
    <sheet state="visible" name="Import" sheetId="2" ns1:id="rId6"/>
    <sheet state="visible" name="Postulaciones" sheetId="3" ns1:id="rId7"/>
    <sheet state="visible" name="Configuración" sheetId="4" ns1:id="rId8"/>
    <sheet state="visible" name="Mensajes" sheetId="5" ns1:id="rId9"/>
    <sheet state="visible" name="Historial" sheetId="6" ns1:id="rId10"/>
  </sheets>
  <definedNames>
    <definedName hidden="1" localSheetId="2" name="_xlnm._FilterDatabase">Postulaciones!$A$3:$K$4</definedName>
  </definedNames>
  <calcPr calcMode="auto" fullCalcOnLoad="1" forceFullCalc="1"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<sst xmlns="http://schemas.openxmlformats.org/spreadsheetml/2006/main" count="775" uniqueCount="89">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</sst>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dimension ref="A1:M50"/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HYPERLINK("#'Postulaciones'!A3","Postulaciones")</f>
        <v>📋 Postulaciones</v>
      </c>
      <c r="D7" s="7"/>
      <c r="E7" s="8" t="str">
        <f>HYPERLINK("#'Historial'!A1","Historial")</f>
        <v>📋 Historial</v>
      </c>
      <c r="F7" s="3"/>
      <c r="G7" s="8" t="str">
        <f>HYPERLINK("#'Mensajes'!A1","Mensajes")</f>
        <v>✉️ Mensajes</v>
      </c>
      <c r="H7" s="7"/>
      <c r="I7" s="8" t="str">
        <f>HYPERLINK("#'Configuraci?n'!A1","Configuraci?n")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"Total"&amp;CHAR(10)&amp;TEXT(COUNTA(Postulaciones!B4:B203),"0")</f>
        <v>Total
0</v>
      </c>
      <c r="D10" s="13" t="str">
        <f>"Enviadas"&amp;CHAR(10)&amp;TEXT(COUNTIF(Historial!E2:E300,"OK"),"0")</f>
        <v>Enviadas
7</v>
      </c>
      <c r="F10" s="14" t="str">
        <f>"Omitidas"&amp;CHAR(10)&amp;TEXT(COUNTIF(Historial!E2:E300,"OMITIDO"),"0")</f>
        <v>Omitidas
119</v>
      </c>
      <c r="H10" s="15" t="str">
        <f>IFERROR("Empresas"&amp;CHAR(10)&amp;TEXT(SUMPRODUCT((Postulaciones!C4:C203&lt;&gt;"")/COUNTIF(Postulaciones!C4:C203,Postulaciones!C4:C203&amp;"")),"0"),"Empresas"&amp;CHAR(10)&amp;"0")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ns1="http://schemas.openxmlformats.org/officeDocument/2006/relationships">
  <dimension ref="A1:H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</sheetData>
  <autoFilter ref="$A$1:$H$101"/>
  <dataValidations count="5">
    <dataValidation allowBlank="1" showErrorMessage="1" showInputMessage="1" sqref="A2:A101" type="custom" errorTitle="Email inv?lido" error="Ingres? un email con formato v?lido." promptTitle="Email" prompt="Us? un correo como nombre@empresa.com">
      <formula1>OR(A2="",AND(ISNUMBER(SEARCH("@",A2)),ISNUMBER(SEARCH(".",A2)),LEN(A2)&gt;=5))</formula1>
    </dataValidation>
    <dataValidation allowBlank="1" showErrorMessage="1" showInputMessage="1" sqref="D2:D101" type="list" errorTitle="Frecuencia inv?lida" error="Eleg? una frecuencia de la lista." promptTitle="Frecuencia" prompt="Eleg? cada cu?nto quer?s contactar a la empresa.">
      <formula1>"Diaria,Semanal,Quincenal,Mensual"</formula1>
    </dataValidation>
    <dataValidation allowBlank="1" showErrorMessage="1" showInputMessage="1" sqref="E2:E101" type="list" errorTitle="Plantilla inv?lida" error="Eleg? una plantilla existente." promptTitle="Template" prompt="Seleccion? la clave del mensaje a usar.">
      <formula1>"cv_tecnico_general,cv_experiencia_sin_titulo,cv_ingeniero_junior,seguimiento_7_dias,reactivacion_rrhh,presentacion_oilgas"</formula1>
    </dataValidation>
    <dataValidation allowBlank="1" showErrorMessage="1" showInputMessage="1" sqref="G2:G101" type="list" errorTitle="Valor inv?lido" error="Us? TRUE o FALSE." promptTitle="Adjuntar" prompt="TRUE adjunta el CV; FALSE no adjunta archivo.">
      <formula1>"TRUE,FALSE"</formula1>
    </dataValidation>
    <dataValidation allowBlank="1" showErrorMessage="1" showInputMessage="1" sqref="H2:H101" type="custom" errorTitle="Adjunto inv?lido" error="Dej? vac?o o carg? un ID/ruta de adjunto v?lido." promptTitle="Adjunto" prompt="Pod?s dejarlo vac?o para usar el adjunto por defecto.">
      <formula1>OR(H2="",LEN(H2)&gt;=10)</formula1>
    </dataValidation>
  </dataValidations>
  <drawing ns1:id="rId1"/>
</worksheet>
</file>

<file path=xl/worksheets/sheet3.xml><?xml version="1.0" encoding="utf-8"?>
<worksheet xmlns="http://schemas.openxmlformats.org/spreadsheetml/2006/main" xmlns:ns1="http://schemas.openxmlformats.org/officeDocument/2006/relationships">
  <dimension ref="A1:K203"/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</sheetData>
  <autoFilter ref="$A$3:$K$203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 count="7">
    <dataValidation allowBlank="1" showErrorMessage="1" showInputMessage="1" sqref="A4:A203" type="list" errorTitle="Valor inv?lido" error="Us? TRUE o FALSE para marcar env?o." promptTitle="Enviar" prompt="TRUE marca la fila para env?o autom?tico.">
      <formula1>"TRUE,FALSE"</formula1>
    </dataValidation>
    <dataValidation allowBlank="1" showErrorMessage="1" showInputMessage="1" sqref="B4:B203" type="custom" errorTitle="Email inv?lido" error="Ingres? un email con formato v?lido." promptTitle="Email" prompt="Correo de destino de la postulaci?n.">
      <formula1>OR(B4="",AND(ISNUMBER(SEARCH("@",B4)),ISNUMBER(SEARCH(".",B4)),LEN(B4)&gt;=5))</formula1>
    </dataValidation>
    <dataValidation allowBlank="1" showErrorMessage="1" showInputMessage="1" sqref="E4:E203" type="list" errorTitle="Frecuencia inv?lida" error="Eleg? una frecuencia v?lida." promptTitle="Frecuencia" prompt="Eleg? la periodicidad del contacto.">
      <formula1>"Diaria,Semanal,Quincenal,Mensual"</formula1>
    </dataValidation>
    <dataValidation allowBlank="1" showErrorMessage="1" showInputMessage="1" sqref="F4:F203" type="custom" errorTitle="Fecha inv?lida" error="Us? una fecha v?lida o dej? la celda vac?a." promptTitle="?ltimo env?o" prompt="Fecha del ?ltimo contacto realizado.">
      <formula1>OR(F4="",NOT(ISERROR(DATEVALUE(F4))),AND(ISNUMBER(F4),LEFT(CELL("format",F4))="D"))</formula1>
    </dataValidation>
    <dataValidation allowBlank="1" showErrorMessage="1" showInputMessage="1" sqref="G4:G203" type="list" errorTitle="Plantilla inv?lida" error="Eleg? una plantilla existente." promptTitle="Template" prompt="Seleccion? la clave del mensaje a enviar.">
      <formula1>"cv_tecnico_general,cv_experiencia_sin_titulo,cv_ingeniero_junior,seguimiento_7_dias,reactivacion_rrhh,presentacion_oilgas"</formula1>
    </dataValidation>
    <dataValidation allowBlank="1" showErrorMessage="1" showInputMessage="1" sqref="I4:I203" type="list" errorTitle="Valor inv?lido" error="Us? TRUE o FALSE." promptTitle="Adjuntar" prompt="TRUE adjunta CV; FALSE no adjunta archivo.">
      <formula1>"TRUE,FALSE"</formula1>
    </dataValidation>
    <dataValidation allowBlank="1" showErrorMessage="1" showInputMessage="1" sqref="K4:K203" type="list" errorTitle="Valor inv?lido" error="Us? TRUE o FALSE." promptTitle="Probar" prompt="Marc? TRUE solo en una fila para pruebas.">
      <formula1>"TRUE,FALSE"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ns1="http://schemas.openxmlformats.org/officeDocument/2006/relationships">
  <dimension ref="A1:B5"/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ns1:id="rId1"/>
</worksheet>
</file>

<file path=xl/worksheets/sheet5.xml><?xml version="1.0" encoding="utf-8"?>
<worksheet xmlns="http://schemas.openxmlformats.org/spreadsheetml/2006/main" xmlns:ns1="http://schemas.openxmlformats.org/officeDocument/2006/relationships">
  <dimension ref="A1:F101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</sheetData>
  <autoFilter ref="$A$1:$C$101"/>
  <mergeCells count="1">
    <mergeCell ref="C7:F7"/>
  </mergeCells>
  <drawing ns1:id="rId1"/>
</worksheet>
</file>

<file path=xl/worksheets/sheet6.xml><?xml version="1.0" encoding="utf-8"?>
<worksheet xmlns="http://schemas.openxmlformats.org/spreadsheetml/2006/main" xmlns:ns1="http://schemas.openxmlformats.org/officeDocument/2006/relationships">
  <dimension ref="A1:F300"/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autoFilter ref="$A$1:$F$300"/>
  <drawing ns1:id="rId1"/>
</worksheet>
</file>