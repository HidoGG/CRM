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7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sheets>
    <ns0:sheet state="visible" name="Inicio" sheetId="1" ns1:id="rId5"/>
    <ns0:sheet state="visible" name="Import" sheetId="2" ns1:id="rId6"/>
    <ns0:sheet state="visible" name="Postulaciones" sheetId="3" ns1:id="rId7"/>
    <ns0:sheet state="visible" name="Configuración" sheetId="4" ns1:id="rId8"/>
    <ns0:sheet state="visible" name="Mensajes" sheetId="5" ns1:id="rId9"/>
    <ns0:sheet state="visible" name="Historial" sheetId="6" ns1:id="rId10"/>
    <ns0:sheet name="Manual" sheetId="7" ns1:id="rId11"/>
  </ns0:sheets>
  <ns0:definedNames>
    <ns0:definedName hidden="1" localSheetId="2" name="_xlnm._FilterDatabase">Postulaciones!$A$3:$K$4</ns0:definedName>
  </ns0:definedNames>
  <ns0:calcPr calcMode="auto" fullCalcOnLoad="1" forceFullCalc="1"/>
</ns0: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CV default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Marcá las filas que querés enviar automáticamente.
(Podés marcar varias.)</t>
      </text>
    </comment>
    <comment authorId="0" ref="K3">
      <text>
        <t xml:space="preserve">Marcá SOLO 1 fila para Vista previa / Probar envío.</t>
      </text>
    </comment>
  </commentList>
</comments>
</file>

<file path=xl/sharedStrings.xml><?xml version="1.0" encoding="utf-8"?>
<sst xmlns="http://schemas.openxmlformats.org/spreadsheetml/2006/main" count="100" uniqueCount="100">
  <si>
    <t>📧  Asistente CV  —  Mailing Empresas</t>
  </si>
  <si>
    <t>Sistema de postulación automática con CV adjunto</t>
  </si>
  <si>
    <t>test.sidebar@empresa.com</t>
  </si>
  <si>
    <t>E7</t>
  </si>
  <si>
    <t>Empresa Test</t>
  </si>
  <si>
    <t>María García</t>
  </si>
  <si>
    <t>Navegación rápida</t>
  </si>
  <si>
    <t>📊  RESUMEN DE POSTULACIONES</t>
  </si>
  <si>
    <t>💡  PASOS RÁPIDOS</t>
  </si>
  <si>
    <t>1️⃣</t>
  </si>
  <si>
    <t>Abrí el panel lateral: menú "Asistente CV → Abrir panel lateral".</t>
  </si>
  <si>
    <t>2️⃣</t>
  </si>
  <si>
    <t>Completá Email, Empresa, Contacto, elegí la plantilla y la nota personal.</t>
  </si>
  <si>
    <t>3️⃣</t>
  </si>
  <si>
    <t>Clic en "Agregar a Postulaciones" para guardar y programar el envío.</t>
  </si>
  <si>
    <t>Email</t>
  </si>
  <si>
    <t>Empresa</t>
  </si>
  <si>
    <t>Contacto</t>
  </si>
  <si>
    <t>Frecuencia</t>
  </si>
  <si>
    <t>TemplateKey</t>
  </si>
  <si>
    <t>NotaPersonal</t>
  </si>
  <si>
    <t>Adjuntar?</t>
  </si>
  <si>
    <t>Adjunto</t>
  </si>
  <si>
    <t xml:space="preserve"> </t>
  </si>
  <si>
    <t>Enviar</t>
  </si>
  <si>
    <t>UltimoEnvio</t>
  </si>
  <si>
    <t>Probar</t>
  </si>
  <si>
    <t>gabriel.hid.orl@gmail.com</t>
  </si>
  <si>
    <t>efef</t>
  </si>
  <si>
    <t>efefeee</t>
  </si>
  <si>
    <t>Mensual</t>
  </si>
  <si>
    <t>presentacion_oilgas</t>
  </si>
  <si>
    <t>118ZsCaQ6YlcjFkZaILOPRLxMOncTxlDr</t>
  </si>
  <si>
    <t>Clave</t>
  </si>
  <si>
    <t>Valor</t>
  </si>
  <si>
    <t>AdjuntoDefaultId</t>
  </si>
  <si>
    <t>14D1dAtw9FTNE0shb5gs3Aj2XV4HZi9tS</t>
  </si>
  <si>
    <t>ModoPrueba</t>
  </si>
  <si>
    <t>NO</t>
  </si>
  <si>
    <t>CorreoPrueba</t>
  </si>
  <si>
    <t xml:space="preserve">CapPorCorrida</t>
  </si>
  <si>
    <t>Asunto</t>
  </si>
  <si>
    <t>Cuerpo</t>
  </si>
  <si>
    <t>cv_tecnico_general</t>
  </si>
  <si>
    <t>Postulación laboral – {{Empresa}}</t>
  </si>
  <si>
    <t>Hola {{Contacto}},
Te escribo para compartirte mi CV y postularme para oportunidades laborales acordes a mi perfil técnico.
Cuento con experiencia en trabajos operativos y técnicos, con disponibilidad para incorporarme de manera inmediata.
{{NotaPersonal}}
Quedo atento a cualquier novedad.
Muchas gracias por tu tiempo.
Saludos,</t>
  </si>
  <si>
    <t>cv_experiencia_sin_titulo</t>
  </si>
  <si>
    <t>Postulación – Experiencia comprobable</t>
  </si>
  <si>
    <t xml:space="preserve">Hola {{Contacto}},
Te contacto para acercarte mi CV y postularme a futuras búsquedas laborales.
Si bien no cuento con título formal, tengo experiencia comprobable en el área, adquirida en trabajos reales y continuos.
{{NotaPersonal}}
Quedo a disposición para ampliar información.
Saludos,
</t>
  </si>
  <si>
    <t>cv_ingeniero_junior</t>
  </si>
  <si>
    <t>Ingeniero/Licenciado – Postulación laboral</t>
  </si>
  <si>
    <t>Hola {{Contacto}},
Mi nombre es Gabriel Hidalgo y te escribo para postularme a oportunidades laborales acordes a mi formación profesional.
Cuento con formación académica y experiencia inicial en el área, con muchas ganas de seguir desarrollándome profesionalmente.
{{NotaPersonal}}
Quedo atento a cualquier novedad.
Muchas gracias.
Saludos,</t>
  </si>
  <si>
    <t>seguimiento_7_dias</t>
  </si>
  <si>
    <t xml:space="preserve">Seguimiento postulación
</t>
  </si>
  <si>
    <t>Hola {{Contacto}},
Te escribo para realizar un breve seguimiento del CV que envié días atrás.
Quedo atento ante cualquier novedad o requerimiento adicional.
Muchas gracias por tu tiempo.
Saludos,</t>
  </si>
  <si>
    <t>reactivacion_rrhh</t>
  </si>
  <si>
    <t>Reenvío de CV – Disponibilidad actual</t>
  </si>
  <si>
    <t>Hola {{Contacto}},
Te escribo para reenviar mi CV y comentarte que continúo con disponibilidad laboral.
Quedo atento ante cualquier oportunidad que pueda surgir.
Muchas gracias.
Saludos,</t>
  </si>
  <si>
    <t>Gabriel Hidalgo – Presentación para {{Empresa}}</t>
  </si>
  <si>
    <t>&lt;p&gt;Hola {{Contacto}}, ¿cómo estás?&lt;/p&gt;
&lt;p&gt;Mi nombre es &lt;b&gt;Gabriel Hidalgo&lt;/b&gt;, Técnico Superior en Petróleo y Gas, con experiencia comprobable en operaciones de campo dentro de la industria Oil &amp; Gas. He trabajado en instalación y desinstalación de equipos de superficie, torque hidráulico, montaje y mantenimiento de cabezales, BOP, válvulas y ejecución de pruebas hidráulicas e hidrostáticas bajo condiciones de alta exigencia.&lt;/p&gt;
&lt;p&gt;Durante mi experiencia en DLS (Pulling), participé activamente en tareas de acondicionamiento y control de equipos, asegurando el cumplimiento de normas de seguridad, procedimientos y estándares operativos. Además, complemento mi perfil con formación en &lt;b&gt;instrumentación, automatización y electricidad industrial&lt;/b&gt;, lo que me permite aportar un enfoque técnico integral.&lt;/p&gt;
&lt;p&gt;Me interesa especialmente la posibilidad de colaborar con &lt;b&gt;{{Empresa}}&lt;/b&gt;, aportando mi experiencia en operaciones y mi capacidad para trabajar en equipo dentro de entornos exigentes.&lt;/p&gt;
&lt;p&gt;Adjunto mi CV y quedo completamente a disposición para coordinar una entrevista o brindar cualquier información adicional.&lt;/p&gt;
&lt;p&gt;Muchas gracias por tu tiempo y consideración.&lt;br&gt;
Saludos cordiales,&lt;br&gt;
&lt;b&gt;Gabriel Hidalgo&lt;/b&gt;&lt;/p&gt;</t>
  </si>
  <si>
    <t>FechaHora</t>
  </si>
  <si>
    <t>Estado</t>
  </si>
  <si>
    <t>Detalle</t>
  </si>
  <si>
    <t>Demo6</t>
  </si>
  <si>
    <t>OMITIDO</t>
  </si>
  <si>
    <t>Aún no corresponde por frecuencia Semanal (faltan 1 día(s). Último: 2025-09-06)</t>
  </si>
  <si>
    <t>V2 . Demo 2</t>
  </si>
  <si>
    <t>demo 4</t>
  </si>
  <si>
    <t>Aún no corresponde por frecuencia Semanal (faltan 7 día(s). Último: 2025-09-06)</t>
  </si>
  <si>
    <t>OK</t>
  </si>
  <si>
    <t>ParaReal=gabriel.hid.orl@gmail.com</t>
  </si>
  <si>
    <t>PREVIA</t>
  </si>
  <si>
    <t>Se enviaría ahora (diagnóstico); todo OK. ParaReal=gabriel.hid.orl@gmail.com</t>
  </si>
  <si>
    <t>ddwdw</t>
  </si>
  <si>
    <t>wdwww</t>
  </si>
  <si>
    <t>Enviar? = FALSE</t>
  </si>
  <si>
    <t>PREVIA en Modo Prueba → se enviaría a CorreoPrueba. ParaReal=gabriel.hid.orl@gmail.com</t>
  </si>
  <si>
    <t>Enviado en Modo Prueba. ParaReal=gabriel.hid.orl@gmail.com</t>
  </si>
  <si>
    <t>Aún no corresponde por frecuencia Semanal (faltan 5 día(s). Último: 2025-08-28)</t>
  </si>
  <si>
    <t>Aún no corresponde por frecuencia Semanal (faltan 6 día(s). Último: 2025-08-29)</t>
  </si>
  <si>
    <t>Demo S.A</t>
  </si>
  <si>
    <t>Demo3 sa</t>
  </si>
  <si>
    <t>ERROR</t>
  </si>
  <si>
    <t>Adjunto: no se pudo obtener el ID desde el valor de "Adjunto".</t>
  </si>
  <si>
    <t>Demo4 sa</t>
  </si>
  <si>
    <t>TemplateKey inválido o no encontrado</t>
  </si>
  <si>
    <t>demo5</t>
  </si>
  <si>
    <t>Aún no corresponde por frecuencia Semanal (faltan 7 día(s). Último: 2025-08-29)</t>
  </si>
  <si>
    <t>Se enviaría a gabriel.hid.orl@gmail.com | Adjunto: GabrielHidalgoOCV.pdf</t>
  </si>
  <si>
    <t>CONTROLES RECOMENDADOS</t>
  </si>
  <si>
    <t>1.</t>
  </si>
  <si>
    <t>Us? ModoPrueba y CorreoPrueba en Configuraci?n si quer?s validar sin enviar a empresas reales.</t>
  </si>
  <si>
    <t>2.</t>
  </si>
  <si>
    <t>Manten? actualizados los TemplateKey y evit? editar encabezados o nombres de hojas.</t>
  </si>
  <si>
    <t>3.</t>
  </si>
  <si>
    <t>Revis? Historial despu?s de cada corrida para detectar OMITIDO, errores o fechas inconsistentes.</t>
  </si>
  <si>
    <t>Panel operativo para mailing laboral y seguimiento de postulaciones</t>
  </si>
  <si>
    <t>Revis? Configuraci?n, Mensajes y el archivo adjunto antes de usar la planilla.</t>
  </si>
  <si>
    <t>Carg? empresas en Import o complet? directamente Postulaciones con los datos clave.</t>
  </si>
  <si>
    <t>Marc? Enviar o Probar, y control? resultados y fechas desde Historial.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</si>
</sst>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 HH:mm:ss"/>
    <numFmt numFmtId="166" formatCode="m/d/yyyy h:mm:ss"/>
  </numFmts>
  <fonts count="24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sz val="10.0"/>
      <color rgb="FFC5CAE9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0.0"/>
      <color rgb="FF5F6368"/>
      <name val="Arial"/>
      <scheme val="minor"/>
    </font>
    <font>
      <b/>
      <u/>
      <sz val="10.0"/>
      <color rgb="FF1A237E"/>
    </font>
    <font>
      <color rgb="FFF0F4FF"/>
      <name val="Arial"/>
      <scheme val="minor"/>
    </font>
    <font>
      <b/>
      <sz val="10.0"/>
      <color rgb="FFFFFFFF"/>
      <name val="Arial"/>
      <scheme val="minor"/>
    </font>
    <font>
      <b/>
      <sz val="13.0"/>
      <color rgb="FF0D47A1"/>
      <name val="Arial"/>
      <scheme val="minor"/>
    </font>
    <font>
      <b/>
      <sz val="13.0"/>
      <color rgb="FF1B5E20"/>
      <name val="Arial"/>
      <scheme val="minor"/>
    </font>
    <font>
      <b/>
      <sz val="13.0"/>
      <color rgb="FFBF360C"/>
      <name val="Arial"/>
      <scheme val="minor"/>
    </font>
    <font>
      <b/>
      <sz val="13.0"/>
      <color rgb="FF4A148C"/>
      <name val="Arial"/>
      <scheme val="minor"/>
    </font>
    <font>
      <b/>
      <sz val="12.0"/>
      <color theme="1"/>
      <name val="Arial"/>
      <scheme val="minor"/>
    </font>
    <font>
      <sz val="9.0"/>
      <color rgb="FF1A237E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color rgb="FF212121"/>
      <name val="Arial"/>
      <scheme val="minor"/>
    </font>
    <font>
      <b/>
      <color rgb="FF0D47A1"/>
      <name val="Arial"/>
      <scheme val="minor"/>
    </font>
    <font>
      <color rgb="FF37474F"/>
      <name val="Arial"/>
      <scheme val="minor"/>
    </font>
    <font/>
    <font>
      <b/>
      <color rgb="FFE65100"/>
      <name val="Arial"/>
      <scheme val="minor"/>
    </font>
    <font>
      <b/>
      <color rgb="FF1B5E20"/>
      <name val="Arial"/>
      <scheme val="minor"/>
    </font>
    <font>
      <b/>
      <color rgb="FFB71C1C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C5CAE9"/>
        <bgColor rgb="FFC5CAE9"/>
      </patternFill>
    </fill>
    <fill>
      <patternFill patternType="solid">
        <fgColor rgb="FFE8EAF6"/>
        <bgColor rgb="FFE8EAF6"/>
      </patternFill>
    </fill>
    <fill>
      <patternFill patternType="solid">
        <fgColor rgb="FF111827"/>
        <bgColor rgb="FF111827"/>
      </patternFill>
    </fill>
    <fill>
      <patternFill patternType="solid">
        <fgColor rgb="FFF6F8F9"/>
        <bgColor rgb="FFF6F8F9"/>
      </patternFill>
    </fill>
    <fill>
      <patternFill patternType="solid">
        <fgColor rgb="FFFFF8E1"/>
        <bgColor rgb="FFFFF8E1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CDD2"/>
        <bgColor rgb="FFFFCDD2"/>
      </patternFill>
    </fill>
  </fills>
  <borders count="5">
    <border/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</border>
    <border>
      <left style="thin">
        <color rgb="FF9FA8DA"/>
      </left>
      <top style="thin">
        <color rgb="FF9FA8DA"/>
      </top>
      <bottom style="thin">
        <color rgb="FF9FA8DA"/>
      </bottom>
    </border>
    <border>
      <top style="thin">
        <color rgb="FF9FA8DA"/>
      </top>
      <bottom style="thin">
        <color rgb="FF9FA8DA"/>
      </bottom>
    </border>
    <border>
      <right style="thin">
        <color rgb="FF9FA8DA"/>
      </right>
      <top style="thin">
        <color rgb="FF9FA8DA"/>
      </top>
      <bottom style="thin">
        <color rgb="FF9FA8DA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3" numFmtId="0" xfId="0" applyFont="1"/>
    <xf borderId="1" fillId="5" fontId="6" numFmtId="0" xfId="0" applyAlignment="1" applyBorder="1" applyFill="1" applyFont="1">
      <alignment horizontal="center" readingOrder="0" vertical="center"/>
    </xf>
    <xf borderId="0" fillId="4" fontId="7" numFmtId="0" xfId="0" applyFont="1"/>
    <xf borderId="0" fillId="4" fontId="7" numFmtId="0" xfId="0" applyFont="1"/>
    <xf borderId="0" fillId="3" fontId="8" numFmtId="0" xfId="0" applyAlignment="1" applyFont="1">
      <alignment horizontal="center" readingOrder="0" vertical="center"/>
    </xf>
    <xf borderId="0" fillId="6" fontId="9" numFmtId="0" xfId="0" applyAlignment="1" applyFill="1" applyFont="1">
      <alignment horizontal="center" shrinkToFit="0" vertical="center" wrapText="1"/>
    </xf>
    <xf borderId="0" fillId="7" fontId="10" numFmtId="0" xfId="0" applyAlignment="1" applyFill="1" applyFont="1">
      <alignment horizontal="center" shrinkToFit="0" vertical="center" wrapText="1"/>
    </xf>
    <xf borderId="0" fillId="8" fontId="11" numFmtId="0" xfId="0" applyAlignment="1" applyFill="1" applyFont="1">
      <alignment horizontal="center" shrinkToFit="0" vertical="center" wrapText="1"/>
    </xf>
    <xf borderId="0" fillId="9" fontId="12" numFmtId="0" xfId="0" applyAlignment="1" applyFill="1" applyFont="1">
      <alignment horizontal="center" shrinkToFit="0" vertical="center" wrapText="1"/>
    </xf>
    <xf borderId="0" fillId="10" fontId="3" numFmtId="0" xfId="0" applyFill="1" applyFont="1"/>
    <xf borderId="0" fillId="2" fontId="8" numFmtId="0" xfId="0" applyAlignment="1" applyFont="1">
      <alignment horizontal="left" readingOrder="0" vertical="center"/>
    </xf>
    <xf borderId="0" fillId="11" fontId="13" numFmtId="0" xfId="0" applyAlignment="1" applyFill="1" applyFont="1">
      <alignment horizontal="center" readingOrder="0" vertical="center"/>
    </xf>
    <xf borderId="0" fillId="4" fontId="14" numFmtId="0" xfId="0" applyAlignment="1" applyFont="1">
      <alignment horizontal="left" readingOrder="0" vertical="center"/>
    </xf>
    <xf borderId="0" fillId="0" fontId="15" numFmtId="0" xfId="0" applyAlignment="1" applyFont="1">
      <alignment readingOrder="0"/>
    </xf>
    <xf borderId="0" fillId="0" fontId="3" numFmtId="0" xfId="0" applyFont="1"/>
    <xf borderId="0" fillId="12" fontId="8" numFmtId="0" xfId="0" applyAlignment="1" applyFill="1" applyFont="1">
      <alignment horizontal="center" readingOrder="0" shrinkToFit="0" vertical="center" wrapText="1"/>
    </xf>
    <xf borderId="0" fillId="12" fontId="16" numFmtId="0" xfId="0" applyAlignment="1" applyFont="1">
      <alignment horizontal="center" readingOrder="0" shrinkToFit="0" vertical="center" wrapText="1"/>
    </xf>
    <xf borderId="0" fillId="11" fontId="17" numFmtId="0" xfId="0" applyAlignment="1" applyFont="1">
      <alignment readingOrder="0"/>
    </xf>
    <xf borderId="0" fillId="11" fontId="17" numFmtId="0" xfId="0" applyAlignment="1" applyFont="1">
      <alignment readingOrder="0"/>
    </xf>
    <xf borderId="0" fillId="11" fontId="17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7" numFmtId="164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5" fontId="17" numFmtId="0" xfId="0" applyAlignment="1" applyFont="1">
      <alignment readingOrder="0"/>
    </xf>
    <xf borderId="0" fillId="6" fontId="3" numFmtId="0" xfId="0" applyAlignment="1" applyFont="1">
      <alignment readingOrder="0"/>
    </xf>
    <xf borderId="0" fillId="11" fontId="17" numFmtId="0" xfId="0" applyFont="1"/>
    <xf borderId="0" fillId="5" fontId="17" numFmtId="0" xfId="0" applyFont="1"/>
    <xf borderId="1" fillId="2" fontId="16" numFmtId="0" xfId="0" applyAlignment="1" applyBorder="1" applyFont="1">
      <alignment horizontal="center" readingOrder="0"/>
    </xf>
    <xf borderId="1" fillId="6" fontId="18" numFmtId="0" xfId="0" applyAlignment="1" applyBorder="1" applyFont="1">
      <alignment readingOrder="0"/>
    </xf>
    <xf borderId="1" fillId="5" fontId="17" numFmtId="0" xfId="0" applyAlignment="1" applyBorder="1" applyFont="1">
      <alignment readingOrder="0"/>
    </xf>
    <xf borderId="1" fillId="5" fontId="17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readingOrder="0" shrinkToFit="0" wrapText="1"/>
    </xf>
    <xf borderId="1" fillId="6" fontId="18" numFmtId="0" xfId="0" applyAlignment="1" applyBorder="1" applyFont="1">
      <alignment readingOrder="0" vertical="top"/>
    </xf>
    <xf borderId="1" fillId="14" fontId="17" numFmtId="0" xfId="0" applyAlignment="1" applyBorder="1" applyFill="1" applyFont="1">
      <alignment readingOrder="0" vertical="top"/>
    </xf>
    <xf borderId="1" fillId="5" fontId="19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5" fontId="19" numFmtId="0" xfId="0" applyAlignment="1" applyBorder="1" applyFont="1">
      <alignment readingOrder="0" shrinkToFit="0" vertical="top" wrapText="1"/>
    </xf>
    <xf borderId="2" fillId="5" fontId="19" numFmtId="0" xfId="0" applyAlignment="1" applyBorder="1" applyFont="1">
      <alignment readingOrder="0" shrinkToFit="0" vertical="top" wrapText="1"/>
    </xf>
    <xf borderId="3" fillId="0" fontId="20" numFmtId="0" xfId="0" applyBorder="1" applyFont="1"/>
    <xf borderId="4" fillId="0" fontId="20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8" numFmtId="0" xfId="0" applyAlignment="1" applyFont="1">
      <alignment horizontal="center" readingOrder="0"/>
    </xf>
    <xf borderId="0" fillId="11" fontId="17" numFmtId="165" xfId="0" applyAlignment="1" applyFont="1" applyNumberFormat="1">
      <alignment readingOrder="0"/>
    </xf>
    <xf borderId="0" fillId="15" fontId="21" numFmtId="0" xfId="0" applyAlignment="1" applyFill="1" applyFont="1">
      <alignment readingOrder="0"/>
    </xf>
    <xf borderId="0" fillId="5" fontId="17" numFmtId="165" xfId="0" applyAlignment="1" applyFont="1" applyNumberFormat="1">
      <alignment readingOrder="0"/>
    </xf>
    <xf borderId="0" fillId="16" fontId="22" numFmtId="0" xfId="0" applyAlignment="1" applyFill="1" applyFont="1">
      <alignment readingOrder="0"/>
    </xf>
    <xf borderId="0" fillId="17" fontId="18" numFmtId="0" xfId="0" applyAlignment="1" applyFill="1" applyFont="1">
      <alignment readingOrder="0"/>
    </xf>
    <xf borderId="0" fillId="18" fontId="2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4400"/>
      </font>
      <fill>
        <patternFill patternType="solid">
          <fgColor rgb="FFFDEBD0"/>
          <bgColor rgb="FFFDEBD0"/>
        </patternFill>
      </fill>
      <border/>
    </dxf>
    <dxf>
      <font>
        <color rgb="FF1F4E79"/>
      </font>
      <fill>
        <patternFill patternType="solid">
          <fgColor rgb="FFDAE8FC"/>
          <bgColor rgb="FFDAE8FC"/>
        </patternFill>
      </fill>
      <border/>
    </dxf>
    <dxf>
      <font>
        <color rgb="FF9C0006"/>
      </font>
      <fill>
        <patternFill patternType="solid">
          <fgColor rgb="FFFECDCE"/>
          <bgColor rgb="FFFECDCE"/>
        </patternFill>
      </fill>
      <border/>
    </dxf>
  </dxf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microsoft.com/office/2017/10/relationships/person" Target="persons/person.xml" /><ns0:Relationship Id="rId10" Type="http://schemas.openxmlformats.org/officeDocument/2006/relationships/worksheet" Target="worksheets/sheet6.xml" /><ns0:Relationship Id="rId9" Type="http://schemas.openxmlformats.org/officeDocument/2006/relationships/worksheet" Target="worksheets/sheet5.xml" /><ns0:Relationship Id="rId5" Type="http://schemas.openxmlformats.org/officeDocument/2006/relationships/worksheet" Target="worksheets/sheet1.xml" /><ns0:Relationship Id="rId6" Type="http://schemas.openxmlformats.org/officeDocument/2006/relationships/worksheet" Target="worksheets/sheet2.xml" /><ns0:Relationship Id="rId7" Type="http://schemas.openxmlformats.org/officeDocument/2006/relationships/worksheet" Target="worksheets/sheet3.xml" /><ns0:Relationship Id="rId8" Type="http://schemas.openxmlformats.org/officeDocument/2006/relationships/worksheet" Target="worksheets/sheet4.xml" /><ns0:Relationship Id="rId11" Type="http://schemas.openxmlformats.org/officeDocument/2006/relationships/worksheet" Target="worksheets/sheet7.xml" /></ns0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29</xdr:row>
      <xdr:rowOff>152400</xdr:rowOff>
    </xdr:from>
    <xdr:ext cx="1657350" cy="419100"/>
    <xdr:sp>
      <xdr:nvSpPr>
        <xdr:cNvPr id="3" name="Shape 3"/>
        <xdr:cNvSpPr txBox="1"/>
      </xdr:nvSpPr>
      <xdr:spPr>
        <a:xfrm>
          <a:off x="1748600" y="1094150"/>
          <a:ext cx="1635900" cy="39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9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ns1="http://schemas.openxmlformats.org/officeDocument/2006/relationships">
  <dimension ref="A1:M50"/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3" width="30.13"/>
    <col customWidth="1" min="4" max="4" width="22.63"/>
    <col customWidth="1" min="5" max="5" width="17.63"/>
    <col customWidth="1" min="6" max="6" width="15.13"/>
    <col customWidth="1" min="7" max="7" width="20.13"/>
    <col customWidth="1" min="8" max="8" width="40.13"/>
    <col customWidth="1" min="9" max="9" width="13.88"/>
    <col customWidth="1" min="10" max="10" width="45.13"/>
    <col customWidth="1" min="11" max="11" width="7.63"/>
  </cols>
  <sheetData>
    <row r="1" ht="39.0" customHeight="1">
      <c r="A1" s="1" t="s">
        <v>0</v>
      </c>
    </row>
    <row r="2" ht="21.0" customHeight="1">
      <c r="A2" s="2" t="s">
        <v>96</v>
      </c>
    </row>
    <row r="3" ht="12.0" customHeight="1">
      <c r="A3" s="3"/>
      <c r="M3" s="4" t="s">
        <v>2</v>
      </c>
    </row>
    <row r="4" ht="34.5" customHeight="1">
      <c r="A4" s="3"/>
      <c r="B4" s="3"/>
      <c r="C4" s="5" t="s">
        <v>3</v>
      </c>
      <c r="J4" s="3"/>
      <c r="K4" s="3"/>
      <c r="L4" s="4" t="s">
        <v>4</v>
      </c>
      <c r="M4" s="4" t="s">
        <v>5</v>
      </c>
    </row>
    <row r="5" ht="12.0" customHeight="1">
      <c r="A5" s="3"/>
    </row>
    <row r="6" ht="19.5" customHeight="1">
      <c r="A6" s="3"/>
      <c r="B6" s="3"/>
      <c r="C6" s="6" t="s">
        <v>6</v>
      </c>
      <c r="J6" s="3"/>
      <c r="K6" s="3"/>
    </row>
    <row r="7" ht="28.5" customHeight="1">
      <c r="A7" s="3"/>
      <c r="B7" s="7"/>
      <c r="C7" s="8" t="str">
        <f>HYPERLINK("#'Postulaciones'!A3","Postulaciones")</f>
        <v>📋 Postulaciones</v>
      </c>
      <c r="D7" s="7"/>
      <c r="E7" s="8" t="str">
        <f>HYPERLINK("#'Historial'!A1","Historial")</f>
        <v>📋 Historial</v>
      </c>
      <c r="F7" s="3"/>
      <c r="G7" s="8" t="str">
        <f>HYPERLINK("#'Mensajes'!A1","Mensajes")</f>
        <v>✉️ Mensajes</v>
      </c>
      <c r="H7" s="7"/>
      <c r="I7" s="8" t="str">
        <f>HYPERLINK("#'Configuraci?n'!A1","Configuraci?n")</f>
        <v>⚙ Configuración</v>
      </c>
      <c r="J7" s="7"/>
      <c r="K7" s="3"/>
    </row>
    <row r="8" ht="1.5" customHeight="1">
      <c r="A8" s="9"/>
      <c r="B8" s="10"/>
      <c r="C8" s="10"/>
      <c r="D8" s="10"/>
      <c r="E8" s="10"/>
      <c r="F8" s="9"/>
      <c r="G8" s="10"/>
      <c r="H8" s="9"/>
      <c r="I8" s="10" t="b">
        <v>0</v>
      </c>
      <c r="J8" s="10"/>
      <c r="K8" s="9"/>
    </row>
    <row r="9" ht="22.5" customHeight="1">
      <c r="A9" s="3"/>
      <c r="B9" s="11" t="s">
        <v>7</v>
      </c>
      <c r="J9" s="3"/>
      <c r="K9" s="3"/>
    </row>
    <row r="10" ht="13.5" customHeight="1">
      <c r="A10" s="3"/>
      <c r="B10" s="12" t="str">
        <f>"Total"&amp;CHAR(10)&amp;TEXT(COUNTA(Postulaciones!B4:B203),"0")</f>
        <v>Total
0</v>
      </c>
      <c r="D10" s="13" t="str">
        <f>"Enviadas"&amp;CHAR(10)&amp;TEXT(COUNTIF(Historial!E2:E300,"OK"),"0")</f>
        <v>Enviadas
7</v>
      </c>
      <c r="F10" s="14" t="str">
        <f>"Omitidas"&amp;CHAR(10)&amp;TEXT(COUNTIF(Historial!E2:E300,"OMITIDO"),"0")</f>
        <v>Omitidas
119</v>
      </c>
      <c r="H10" s="15" t="str">
        <f>IFERROR("Empresas"&amp;CHAR(10)&amp;TEXT(SUMPRODUCT((Postulaciones!C4:C203&lt;&gt;"")/COUNTIF(Postulaciones!C4:C203,Postulaciones!C4:C203&amp;"")),"0"),"Empresas"&amp;CHAR(10)&amp;"0")</f>
        <v>Empresas
0</v>
      </c>
      <c r="J10" s="3"/>
      <c r="K10" s="3"/>
    </row>
    <row r="11" ht="19.5" customHeight="1">
      <c r="A11" s="3"/>
      <c r="J11" s="3"/>
      <c r="K11" s="3"/>
    </row>
    <row r="12" ht="13.5" customHeight="1">
      <c r="A12" s="3"/>
      <c r="J12" s="3"/>
      <c r="K12" s="3"/>
    </row>
    <row r="13" ht="3.0" customHeight="1">
      <c r="A13" s="3"/>
      <c r="B13" s="16"/>
      <c r="J13" s="3"/>
      <c r="K13" s="3"/>
    </row>
    <row r="14" ht="21.0" customHeight="1">
      <c r="A14" s="3"/>
      <c r="B14" s="17" t="s">
        <v>8</v>
      </c>
      <c r="J14" s="3"/>
      <c r="K14" s="3"/>
    </row>
    <row r="15" ht="19.5" customHeight="1">
      <c r="A15" s="3"/>
      <c r="B15" s="18" t="s">
        <v>9</v>
      </c>
      <c r="C15" s="19" t="s">
        <v>97</v>
      </c>
      <c r="J15" s="3"/>
      <c r="K15" s="3"/>
    </row>
    <row r="16" ht="19.5" customHeight="1">
      <c r="A16" s="3"/>
      <c r="B16" s="18" t="s">
        <v>11</v>
      </c>
      <c r="C16" s="19" t="s">
        <v>98</v>
      </c>
      <c r="J16" s="3"/>
      <c r="K16" s="3"/>
    </row>
    <row r="17" ht="19.5" customHeight="1">
      <c r="A17" s="3"/>
      <c r="B17" s="18" t="s">
        <v>13</v>
      </c>
      <c r="C17" s="19" t="s">
        <v>99</v>
      </c>
      <c r="J17" s="3"/>
      <c r="K17" s="3"/>
    </row>
    <row r="18" ht="1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1.0" customHeight="1">
      <c r="A20" s="3"/>
      <c r="B20" s="17" t="s">
        <v>89</v>
      </c>
      <c r="C20" s="7"/>
      <c r="D20" s="7"/>
      <c r="E20" s="7"/>
      <c r="F20" s="7"/>
      <c r="G20" s="7"/>
      <c r="H20" s="7"/>
      <c r="I20" s="7"/>
      <c r="J20" s="7"/>
      <c r="K20" s="7"/>
    </row>
    <row r="21" ht="19.5" customHeight="1">
      <c r="A21" s="3"/>
      <c r="B21" s="18" t="s">
        <v>90</v>
      </c>
      <c r="C21" s="19" t="s">
        <v>91</v>
      </c>
      <c r="D21" s="3"/>
      <c r="E21" s="3"/>
      <c r="F21" s="3"/>
      <c r="G21" s="3"/>
      <c r="H21" s="3"/>
      <c r="I21" s="3"/>
      <c r="J21" s="3"/>
      <c r="K21" s="3"/>
    </row>
    <row r="22" ht="19.5" customHeight="1">
      <c r="A22" s="3"/>
      <c r="B22" s="18" t="s">
        <v>92</v>
      </c>
      <c r="C22" s="19" t="s">
        <v>93</v>
      </c>
      <c r="D22" s="3"/>
      <c r="E22" s="3"/>
      <c r="F22" s="3"/>
      <c r="G22" s="3"/>
      <c r="H22" s="3"/>
      <c r="I22" s="3"/>
      <c r="J22" s="3"/>
      <c r="K22" s="3"/>
    </row>
    <row r="23" ht="19.5" customHeight="1">
      <c r="A23" s="3"/>
      <c r="B23" s="18" t="s">
        <v>94</v>
      </c>
      <c r="C23" s="19" t="s">
        <v>95</v>
      </c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mergeCells count="20">
    <mergeCell ref="A1:K1"/>
    <mergeCell ref="A2:K2"/>
    <mergeCell ref="A3:K3"/>
    <mergeCell ref="C4:I4"/>
    <mergeCell ref="A5:K5"/>
    <mergeCell ref="C6:I6"/>
    <mergeCell ref="B9:I9"/>
    <mergeCell ref="C16:I16"/>
    <mergeCell ref="C17:I17"/>
    <mergeCell ref="B10:C12"/>
    <mergeCell ref="D10:E12"/>
    <mergeCell ref="F10:G12"/>
    <mergeCell ref="H10:I12"/>
    <mergeCell ref="B13:I13"/>
    <mergeCell ref="B14:I14"/>
    <mergeCell ref="C15:I15"/>
    <mergeCell ref="B20:I20"/>
    <mergeCell ref="C21:I21"/>
    <mergeCell ref="C22:I22"/>
    <mergeCell ref="C23:I23"/>
  </mergeCells>
  <dataValidations>
    <dataValidation type="list" allowBlank="1" sqref="E8">
      <formula1>"Semanal,Quincenal,Mensual"</formula1>
    </dataValidation>
    <dataValidation type="list" allowBlank="1" sqref="G8">
      <formula1>"cv_tecnico_general,cv_experiencia_sin_titulo,cv_ingeniero_junior,seguimiento_7_dias,reactivacion_rrhh,presentacion_oilgas"</formula1>
    </dataValidation>
  </dataValidations>
  <drawing ns1:id="rId2"/>
  <legacyDrawing ns1:id="rId3"/>
</worksheet>
</file>

<file path=xl/worksheets/sheet2.xml><?xml version="1.0" encoding="utf-8"?>
<worksheet xmlns="http://schemas.openxmlformats.org/spreadsheetml/2006/main" xmlns:ns1="http://schemas.openxmlformats.org/officeDocument/2006/relationships">
  <dimension ref="A1:H101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20.13"/>
    <col customWidth="1" min="4" max="4" width="15.13"/>
    <col customWidth="1" min="5" max="5" width="17.63"/>
    <col customWidth="1" min="6" max="6" width="32.63"/>
    <col customWidth="1" min="7" max="7" width="12.63"/>
    <col customWidth="1" min="8" max="8" width="40.13"/>
  </cols>
  <sheetData>
    <row r="1">
      <c r="A1" s="20" t="s">
        <v>15</v>
      </c>
      <c r="B1" s="20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</row>
    <row r="2">
      <c r="D2" s="21"/>
    </row>
    <row r="3">
      <c r="D3" s="21"/>
    </row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</sheetData>
  <autoFilter ref="$A$1:$H$101"/>
  <dataValidations count="5">
    <dataValidation allowBlank="1" showErrorMessage="1" showInputMessage="1" sqref="A2:A101" type="custom" errorTitle="Email inv?lido" error="Ingres? un email con formato v?lido." promptTitle="Email" prompt="Us? un correo como nombre@empresa.com">
      <formula1>OR(A2="",AND(ISNUMBER(SEARCH("@",A2)),ISNUMBER(SEARCH(".",A2)),LEN(A2)&gt;=5))</formula1>
    </dataValidation>
    <dataValidation allowBlank="1" showErrorMessage="1" showInputMessage="1" sqref="D2:D101" type="list" errorTitle="Frecuencia inv?lida" error="Eleg? una frecuencia de la lista." promptTitle="Frecuencia" prompt="Eleg? cada cu?nto quer?s contactar a la empresa.">
      <formula1>"Diaria,Semanal,Quincenal,Mensual"</formula1>
    </dataValidation>
    <dataValidation allowBlank="1" showErrorMessage="1" showInputMessage="1" sqref="E2:E101" type="list" errorTitle="Plantilla inv?lida" error="Eleg? una plantilla existente." promptTitle="Template" prompt="Seleccion? la clave del mensaje a usar.">
      <formula1>"cv_tecnico_general,cv_experiencia_sin_titulo,cv_ingeniero_junior,seguimiento_7_dias,reactivacion_rrhh,presentacion_oilgas"</formula1>
    </dataValidation>
    <dataValidation allowBlank="1" showErrorMessage="1" showInputMessage="1" sqref="G2:G101" type="list" errorTitle="Valor inv?lido" error="Us? TRUE o FALSE." promptTitle="Adjuntar" prompt="TRUE adjunta el CV; FALSE no adjunta archivo.">
      <formula1>"TRUE,FALSE"</formula1>
    </dataValidation>
    <dataValidation allowBlank="1" showErrorMessage="1" showInputMessage="1" sqref="H2:H101" type="custom" errorTitle="Adjunto inv?lido" error="Dej? vac?o o carg? un ID/ruta de adjunto v?lido." promptTitle="Adjunto" prompt="Pod?s dejarlo vac?o para usar el adjunto por defecto.">
      <formula1>OR(H2="",LEN(H2)&gt;=10)</formula1>
    </dataValidation>
  </dataValidations>
  <drawing ns1:id="rId1"/>
</worksheet>
</file>

<file path=xl/worksheets/sheet3.xml><?xml version="1.0" encoding="utf-8"?>
<worksheet xmlns="http://schemas.openxmlformats.org/spreadsheetml/2006/main" xmlns:ns1="http://schemas.openxmlformats.org/officeDocument/2006/relationships">
  <dimension ref="A1:K203"/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1.38"/>
    <col customWidth="1" min="2" max="2" width="30.13"/>
    <col customWidth="1" min="3" max="3" width="27.63"/>
    <col customWidth="1" min="4" max="4" width="22.63"/>
    <col customWidth="1" min="5" max="5" width="16.38"/>
    <col customWidth="1" min="6" max="6" width="15.13"/>
    <col customWidth="1" min="7" max="7" width="18.88"/>
    <col customWidth="1" min="8" max="8" width="40.13"/>
    <col customWidth="1" min="9" max="9" width="13.88"/>
    <col customWidth="1" min="10" max="10" width="40.13"/>
    <col customWidth="1" min="11" max="11" width="13.88"/>
  </cols>
  <sheetData>
    <row r="1">
      <c r="C1" s="4" t="s">
        <v>23</v>
      </c>
    </row>
    <row r="3" ht="25.5" customHeight="1">
      <c r="A3" s="22" t="s">
        <v>24</v>
      </c>
      <c r="B3" s="22" t="s">
        <v>15</v>
      </c>
      <c r="C3" s="22" t="s">
        <v>16</v>
      </c>
      <c r="D3" s="22" t="s">
        <v>17</v>
      </c>
      <c r="E3" s="22" t="s">
        <v>18</v>
      </c>
      <c r="F3" s="22" t="s">
        <v>25</v>
      </c>
      <c r="G3" s="22" t="s">
        <v>19</v>
      </c>
      <c r="H3" s="22" t="s">
        <v>20</v>
      </c>
      <c r="I3" s="22" t="s">
        <v>21</v>
      </c>
      <c r="J3" s="22" t="s">
        <v>22</v>
      </c>
      <c r="K3" s="23" t="s">
        <v>26</v>
      </c>
    </row>
    <row r="4" ht="22.5" customHeight="1">
      <c r="A4" s="24" t="b">
        <v>0</v>
      </c>
      <c r="B4" s="24" t="s">
        <v>27</v>
      </c>
      <c r="C4" s="24" t="s">
        <v>28</v>
      </c>
      <c r="D4" s="24" t="s">
        <v>29</v>
      </c>
      <c r="E4" s="25" t="s">
        <v>30</v>
      </c>
      <c r="F4" s="26"/>
      <c r="G4" s="25" t="s">
        <v>31</v>
      </c>
      <c r="H4" s="24"/>
      <c r="I4" s="25" t="b">
        <v>1</v>
      </c>
      <c r="J4" s="24" t="s">
        <v>32</v>
      </c>
      <c r="K4" s="27" t="b">
        <v>1</v>
      </c>
    </row>
    <row r="5" ht="22.5" customHeight="1">
      <c r="A5" s="28"/>
      <c r="B5" s="28"/>
      <c r="C5" s="28"/>
      <c r="D5" s="28"/>
      <c r="E5" s="28"/>
      <c r="F5" s="29"/>
      <c r="G5" s="28"/>
      <c r="H5" s="28"/>
      <c r="I5" s="28"/>
      <c r="J5" s="28"/>
      <c r="K5" s="30"/>
    </row>
    <row r="6" ht="22.5" customHeight="1">
      <c r="A6" s="24"/>
      <c r="B6" s="24"/>
      <c r="C6" s="24"/>
      <c r="D6" s="24"/>
      <c r="E6" s="24"/>
      <c r="F6" s="26"/>
      <c r="G6" s="24"/>
      <c r="H6" s="24"/>
      <c r="I6" s="24"/>
      <c r="J6" s="24"/>
      <c r="K6" s="27"/>
    </row>
    <row r="7" ht="22.5" customHeight="1">
      <c r="A7" s="28"/>
      <c r="B7" s="28"/>
      <c r="C7" s="28"/>
      <c r="D7" s="28"/>
      <c r="E7" s="31"/>
      <c r="F7" s="29"/>
      <c r="G7" s="28"/>
      <c r="H7" s="28"/>
      <c r="I7" s="28"/>
      <c r="J7" s="28"/>
      <c r="K7" s="30"/>
    </row>
    <row r="8" ht="22.5" customHeight="1">
      <c r="A8" s="24"/>
      <c r="B8" s="24"/>
      <c r="C8" s="24"/>
      <c r="D8" s="24"/>
      <c r="E8" s="25"/>
      <c r="F8" s="26"/>
      <c r="G8" s="24"/>
      <c r="H8" s="24"/>
      <c r="I8" s="24"/>
      <c r="J8" s="24"/>
      <c r="K8" s="27"/>
    </row>
    <row r="9" ht="22.5" customHeight="1">
      <c r="A9" s="28"/>
      <c r="B9" s="28"/>
      <c r="C9" s="28"/>
      <c r="D9" s="28"/>
      <c r="E9" s="31"/>
      <c r="F9" s="29"/>
      <c r="G9" s="28"/>
      <c r="H9" s="28"/>
      <c r="I9" s="28"/>
      <c r="J9" s="28"/>
      <c r="K9" s="30"/>
    </row>
    <row r="10" ht="22.5" customHeight="1">
      <c r="A10" s="24"/>
      <c r="B10" s="24"/>
      <c r="C10" s="24"/>
      <c r="D10" s="24"/>
      <c r="E10" s="25"/>
      <c r="F10" s="26"/>
      <c r="G10" s="24"/>
      <c r="H10" s="24"/>
      <c r="I10" s="24"/>
      <c r="J10" s="24"/>
      <c r="K10" s="27"/>
    </row>
    <row r="11" ht="22.5" customHeight="1">
      <c r="A11" s="28"/>
      <c r="B11" s="28"/>
      <c r="C11" s="28"/>
      <c r="D11" s="28"/>
      <c r="E11" s="28"/>
      <c r="F11" s="29"/>
      <c r="G11" s="31"/>
      <c r="H11" s="28"/>
      <c r="I11" s="28"/>
      <c r="J11" s="28"/>
      <c r="K11" s="30"/>
    </row>
    <row r="12" ht="22.5" customHeight="1">
      <c r="A12" s="24"/>
      <c r="B12" s="24"/>
      <c r="C12" s="24"/>
      <c r="D12" s="24"/>
      <c r="E12" s="24"/>
      <c r="F12" s="26"/>
      <c r="G12" s="25"/>
      <c r="H12" s="24"/>
      <c r="I12" s="24"/>
      <c r="J12" s="24"/>
      <c r="K12" s="27"/>
    </row>
    <row r="13" ht="22.5" customHeight="1">
      <c r="A13" s="28"/>
      <c r="B13" s="28"/>
      <c r="C13" s="28"/>
      <c r="D13" s="28"/>
      <c r="E13" s="28"/>
      <c r="F13" s="29"/>
      <c r="G13" s="31"/>
      <c r="H13" s="28"/>
      <c r="I13" s="28"/>
      <c r="J13" s="28"/>
      <c r="K13" s="30"/>
    </row>
    <row r="14" ht="22.5" customHeight="1">
      <c r="A14" s="24"/>
      <c r="B14" s="24"/>
      <c r="C14" s="24"/>
      <c r="D14" s="24"/>
      <c r="E14" s="24"/>
      <c r="F14" s="26"/>
      <c r="G14" s="24"/>
      <c r="H14" s="24"/>
      <c r="I14" s="24"/>
      <c r="J14" s="24"/>
      <c r="K14" s="27"/>
    </row>
    <row r="15" ht="22.5" customHeight="1">
      <c r="A15" s="28"/>
      <c r="B15" s="28"/>
      <c r="C15" s="28"/>
      <c r="D15" s="28"/>
      <c r="E15" s="28"/>
      <c r="F15" s="29"/>
      <c r="G15" s="28"/>
      <c r="H15" s="28"/>
      <c r="I15" s="28"/>
      <c r="J15" s="28"/>
      <c r="K15" s="30"/>
    </row>
    <row r="16" ht="22.5" customHeight="1">
      <c r="A16" s="24"/>
      <c r="B16" s="24"/>
      <c r="C16" s="24"/>
      <c r="D16" s="24"/>
      <c r="E16" s="24"/>
      <c r="F16" s="26"/>
      <c r="G16" s="24"/>
      <c r="H16" s="24"/>
      <c r="I16" s="24"/>
      <c r="J16" s="24"/>
      <c r="K16" s="27"/>
    </row>
    <row r="17" ht="22.5" customHeight="1">
      <c r="A17" s="28"/>
      <c r="B17" s="28"/>
      <c r="C17" s="28"/>
      <c r="D17" s="28"/>
      <c r="E17" s="31"/>
      <c r="F17" s="29"/>
      <c r="G17" s="31"/>
      <c r="H17" s="28"/>
      <c r="I17" s="28"/>
      <c r="J17" s="28"/>
      <c r="K17" s="30"/>
    </row>
    <row r="18" ht="22.5" customHeight="1">
      <c r="A18" s="24"/>
      <c r="B18" s="24"/>
      <c r="C18" s="24"/>
      <c r="D18" s="24"/>
      <c r="E18" s="25"/>
      <c r="F18" s="26"/>
      <c r="G18" s="25"/>
      <c r="H18" s="24"/>
      <c r="I18" s="24"/>
      <c r="J18" s="24"/>
      <c r="K18" s="27"/>
    </row>
    <row r="19" ht="22.5" customHeight="1">
      <c r="A19" s="28"/>
      <c r="B19" s="28"/>
      <c r="C19" s="28"/>
      <c r="D19" s="28"/>
      <c r="E19" s="31"/>
      <c r="F19" s="29"/>
      <c r="G19" s="31"/>
      <c r="H19" s="28"/>
      <c r="I19" s="28"/>
      <c r="J19" s="28"/>
      <c r="K19" s="30"/>
    </row>
    <row r="20" ht="22.5" customHeight="1">
      <c r="A20" s="24"/>
      <c r="B20" s="24"/>
      <c r="C20" s="24"/>
      <c r="D20" s="24"/>
      <c r="E20" s="24"/>
      <c r="F20" s="26"/>
      <c r="G20" s="24"/>
      <c r="H20" s="24"/>
      <c r="I20" s="24"/>
      <c r="J20" s="24"/>
      <c r="K20" s="27"/>
    </row>
    <row r="21" ht="22.5" customHeight="1">
      <c r="A21" s="28"/>
      <c r="B21" s="28"/>
      <c r="C21" s="28"/>
      <c r="D21" s="28"/>
      <c r="E21" s="28"/>
      <c r="F21" s="29"/>
      <c r="G21" s="28"/>
      <c r="H21" s="28"/>
      <c r="I21" s="28"/>
      <c r="J21" s="28"/>
      <c r="K21" s="30"/>
    </row>
    <row r="22" ht="22.5" customHeight="1">
      <c r="A22" s="24"/>
      <c r="B22" s="24"/>
      <c r="C22" s="24"/>
      <c r="D22" s="24"/>
      <c r="E22" s="24"/>
      <c r="F22" s="26"/>
      <c r="G22" s="24"/>
      <c r="H22" s="24"/>
      <c r="I22" s="24"/>
      <c r="J22" s="24"/>
      <c r="K22" s="27"/>
    </row>
    <row r="23" ht="22.5" customHeight="1">
      <c r="A23" s="28"/>
      <c r="B23" s="28"/>
      <c r="C23" s="28"/>
      <c r="D23" s="28"/>
      <c r="E23" s="28"/>
      <c r="F23" s="29"/>
      <c r="G23" s="28"/>
      <c r="H23" s="28"/>
      <c r="I23" s="28"/>
      <c r="J23" s="28"/>
      <c r="K23" s="32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</sheetData>
  <autoFilter ref="$A$3:$K$203"/>
  <conditionalFormatting sqref="A4:K728">
    <cfRule type="expression" dxfId="1" priority="1">
      <formula>AND($K4=TRUE, $B4="")</formula>
    </cfRule>
  </conditionalFormatting>
  <conditionalFormatting sqref="A4:K728">
    <cfRule type="expression" dxfId="2" priority="2">
      <formula>$K4=TRUE</formula>
    </cfRule>
  </conditionalFormatting>
  <conditionalFormatting sqref="A4:K728">
    <cfRule type="expression" dxfId="3" priority="3">
      <formula>$A4=TRUE</formula>
    </cfRule>
  </conditionalFormatting>
  <conditionalFormatting sqref="A3">
    <cfRule type="notContainsBlanks" dxfId="4" priority="4">
      <formula>LEN(TRIM(A3))&gt;0</formula>
    </cfRule>
  </conditionalFormatting>
  <dataValidations count="7">
    <dataValidation allowBlank="1" showErrorMessage="1" showInputMessage="1" sqref="A4:A203" type="list" errorTitle="Valor inv?lido" error="Us? TRUE o FALSE para marcar env?o." promptTitle="Enviar" prompt="TRUE marca la fila para env?o autom?tico.">
      <formula1>"TRUE,FALSE"</formula1>
    </dataValidation>
    <dataValidation allowBlank="1" showErrorMessage="1" showInputMessage="1" sqref="B4:B203" type="custom" errorTitle="Email inv?lido" error="Ingres? un email con formato v?lido." promptTitle="Email" prompt="Correo de destino de la postulaci?n.">
      <formula1>OR(B4="",AND(ISNUMBER(SEARCH("@",B4)),ISNUMBER(SEARCH(".",B4)),LEN(B4)&gt;=5))</formula1>
    </dataValidation>
    <dataValidation allowBlank="1" showErrorMessage="1" showInputMessage="1" sqref="E4:E203" type="list" errorTitle="Frecuencia inv?lida" error="Eleg? una frecuencia v?lida." promptTitle="Frecuencia" prompt="Eleg? la periodicidad del contacto.">
      <formula1>"Diaria,Semanal,Quincenal,Mensual"</formula1>
    </dataValidation>
    <dataValidation allowBlank="1" showErrorMessage="1" showInputMessage="1" sqref="F4:F203" type="custom" errorTitle="Fecha inv?lida" error="Us? una fecha v?lida o dej? la celda vac?a." promptTitle="?ltimo env?o" prompt="Fecha del ?ltimo contacto realizado.">
      <formula1>OR(F4="",NOT(ISERROR(DATEVALUE(F4))),AND(ISNUMBER(F4),LEFT(CELL("format",F4))="D"))</formula1>
    </dataValidation>
    <dataValidation allowBlank="1" showErrorMessage="1" showInputMessage="1" sqref="G4:G203" type="list" errorTitle="Plantilla inv?lida" error="Eleg? una plantilla existente." promptTitle="Template" prompt="Seleccion? la clave del mensaje a enviar.">
      <formula1>"cv_tecnico_general,cv_experiencia_sin_titulo,cv_ingeniero_junior,seguimiento_7_dias,reactivacion_rrhh,presentacion_oilgas"</formula1>
    </dataValidation>
    <dataValidation allowBlank="1" showErrorMessage="1" showInputMessage="1" sqref="I4:I203" type="list" errorTitle="Valor inv?lido" error="Us? TRUE o FALSE." promptTitle="Adjuntar" prompt="TRUE adjunta CV; FALSE no adjunta archivo.">
      <formula1>"TRUE,FALSE"</formula1>
    </dataValidation>
    <dataValidation allowBlank="1" showErrorMessage="1" showInputMessage="1" sqref="K4:K203" type="list" errorTitle="Valor inv?lido" error="Us? TRUE o FALSE." promptTitle="Probar" prompt="Marc? TRUE solo en una fila para pruebas.">
      <formula1>"TRUE,FALSE"</formula1>
    </dataValidation>
  </dataValidations>
  <drawing ns1:id="rId2"/>
  <legacyDrawing ns1:id="rId3"/>
</worksheet>
</file>

<file path=xl/worksheets/sheet4.xml><?xml version="1.0" encoding="utf-8"?>
<worksheet xmlns="http://schemas.openxmlformats.org/spreadsheetml/2006/main" xmlns:ns1="http://schemas.openxmlformats.org/officeDocument/2006/relationships">
  <dimension ref="A1:B5"/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3.88"/>
  </cols>
  <sheetData>
    <row r="1" ht="24.0" customHeight="1">
      <c r="A1" s="35" t="s">
        <v>33</v>
      </c>
      <c r="B1" s="35" t="s">
        <v>34</v>
      </c>
    </row>
    <row r="2" ht="21.0" customHeight="1">
      <c r="A2" s="36" t="s">
        <v>35</v>
      </c>
      <c r="B2" s="37" t="s">
        <v>36</v>
      </c>
    </row>
    <row r="3" ht="21.0" customHeight="1">
      <c r="A3" s="36" t="s">
        <v>37</v>
      </c>
      <c r="B3" s="38" t="s">
        <v>38</v>
      </c>
    </row>
    <row r="4" ht="21.0" customHeight="1">
      <c r="A4" s="36" t="s">
        <v>39</v>
      </c>
      <c r="B4" s="37" t="s">
        <v>27</v>
      </c>
    </row>
    <row r="5" ht="21.0" customHeight="1">
      <c r="A5" s="36" t="s">
        <v>40</v>
      </c>
      <c r="B5" s="37">
        <v>0.0</v>
      </c>
    </row>
  </sheetData>
  <dataValidations>
    <dataValidation type="list" allowBlank="1" showErrorMessage="1" sqref="B3">
      <formula1>"SI,NO"</formula1>
    </dataValidation>
  </dataValidations>
  <drawing ns1:id="rId1"/>
</worksheet>
</file>

<file path=xl/worksheets/sheet5.xml><?xml version="1.0" encoding="utf-8"?>
<worksheet xmlns="http://schemas.openxmlformats.org/spreadsheetml/2006/main" xmlns:ns1="http://schemas.openxmlformats.org/officeDocument/2006/relationships">
  <dimension ref="A1:F101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36.38"/>
    <col customWidth="1" min="3" max="3" width="70.13"/>
    <col customWidth="1" min="6" max="6" width="41.0"/>
  </cols>
  <sheetData>
    <row r="1" ht="24.0" customHeight="1">
      <c r="A1" s="35" t="s">
        <v>33</v>
      </c>
      <c r="B1" s="35" t="s">
        <v>41</v>
      </c>
      <c r="C1" s="39" t="s">
        <v>42</v>
      </c>
    </row>
    <row r="2" ht="145.5" customHeight="1">
      <c r="A2" s="40" t="s">
        <v>43</v>
      </c>
      <c r="B2" s="41" t="s">
        <v>44</v>
      </c>
      <c r="C2" s="42" t="s">
        <v>45</v>
      </c>
      <c r="D2" s="43"/>
      <c r="E2" s="43"/>
      <c r="F2" s="43"/>
    </row>
    <row r="3" ht="139.5" customHeight="1">
      <c r="A3" s="40" t="s">
        <v>46</v>
      </c>
      <c r="B3" s="41" t="s">
        <v>47</v>
      </c>
      <c r="C3" s="44" t="s">
        <v>48</v>
      </c>
      <c r="D3" s="43"/>
      <c r="E3" s="43"/>
      <c r="F3" s="43"/>
    </row>
    <row r="4" ht="172.5" customHeight="1">
      <c r="A4" s="40" t="s">
        <v>49</v>
      </c>
      <c r="B4" s="41" t="s">
        <v>50</v>
      </c>
      <c r="C4" s="42" t="s">
        <v>51</v>
      </c>
      <c r="D4" s="43"/>
      <c r="E4" s="43"/>
      <c r="F4" s="43"/>
    </row>
    <row r="5" ht="142.5" customHeight="1">
      <c r="A5" s="40" t="s">
        <v>52</v>
      </c>
      <c r="B5" s="41" t="s">
        <v>53</v>
      </c>
      <c r="C5" s="44" t="s">
        <v>54</v>
      </c>
      <c r="D5" s="43"/>
      <c r="E5" s="43"/>
      <c r="F5" s="43"/>
    </row>
    <row r="6" ht="177.75" customHeight="1">
      <c r="A6" s="40" t="s">
        <v>55</v>
      </c>
      <c r="B6" s="41" t="s">
        <v>56</v>
      </c>
      <c r="C6" s="44" t="s">
        <v>57</v>
      </c>
      <c r="D6" s="43"/>
      <c r="E6" s="43"/>
      <c r="F6" s="43"/>
    </row>
    <row r="7" ht="325.5" customHeight="1">
      <c r="A7" s="40" t="s">
        <v>31</v>
      </c>
      <c r="B7" s="41" t="s">
        <v>58</v>
      </c>
      <c r="C7" s="45" t="s">
        <v>59</v>
      </c>
      <c r="D7" s="46"/>
      <c r="E7" s="46"/>
      <c r="F7" s="47"/>
    </row>
    <row r="8">
      <c r="C8" s="48"/>
    </row>
    <row r="9">
      <c r="C9" s="48"/>
    </row>
    <row r="10">
      <c r="C10" s="48"/>
    </row>
    <row r="11">
      <c r="C11" s="48"/>
    </row>
    <row r="12">
      <c r="C12" s="43"/>
    </row>
    <row r="13">
      <c r="C13" s="49"/>
    </row>
    <row r="14">
      <c r="C14" s="43"/>
    </row>
    <row r="15">
      <c r="C15" s="43"/>
    </row>
    <row r="16">
      <c r="C16" s="49"/>
    </row>
    <row r="17">
      <c r="C17" s="49"/>
    </row>
    <row r="18">
      <c r="C18" s="49"/>
    </row>
    <row r="19">
      <c r="C19" s="49"/>
    </row>
    <row r="20">
      <c r="C20" s="49"/>
    </row>
    <row r="21">
      <c r="C21" s="49"/>
    </row>
    <row r="22">
      <c r="C22" s="49"/>
    </row>
    <row r="23">
      <c r="C23" s="49"/>
    </row>
    <row r="24">
      <c r="C24" s="49"/>
    </row>
    <row r="25">
      <c r="C25" s="49"/>
    </row>
    <row r="26">
      <c r="C26" s="49"/>
    </row>
    <row r="27">
      <c r="C27" s="49"/>
    </row>
    <row r="28">
      <c r="C28" s="49"/>
    </row>
    <row r="29">
      <c r="C29" s="49"/>
    </row>
    <row r="30">
      <c r="C30" s="49"/>
    </row>
    <row r="31">
      <c r="C31" s="49"/>
    </row>
    <row r="32">
      <c r="C32" s="49"/>
    </row>
    <row r="33">
      <c r="C33" s="49"/>
    </row>
    <row r="34">
      <c r="C34" s="49"/>
    </row>
    <row r="35">
      <c r="C35" s="49"/>
    </row>
    <row r="36">
      <c r="C36" s="49"/>
    </row>
    <row r="37">
      <c r="C37" s="49"/>
    </row>
    <row r="38">
      <c r="C38" s="49"/>
    </row>
    <row r="39">
      <c r="C39" s="49"/>
    </row>
    <row r="40">
      <c r="C40" s="49"/>
    </row>
    <row r="41">
      <c r="C41" s="49"/>
    </row>
    <row r="42">
      <c r="C42" s="49"/>
    </row>
    <row r="43">
      <c r="C43" s="49"/>
    </row>
    <row r="44">
      <c r="C44" s="49"/>
    </row>
    <row r="45">
      <c r="C45" s="49"/>
    </row>
    <row r="46">
      <c r="C46" s="49"/>
    </row>
    <row r="47">
      <c r="C47" s="49"/>
    </row>
    <row r="48">
      <c r="C48" s="49"/>
    </row>
    <row r="49">
      <c r="C49" s="49"/>
    </row>
    <row r="50">
      <c r="C50" s="49"/>
    </row>
    <row r="51">
      <c r="C51" s="49"/>
    </row>
    <row r="52">
      <c r="C52" s="49"/>
    </row>
    <row r="53">
      <c r="C53" s="49"/>
    </row>
    <row r="54">
      <c r="C54" s="49"/>
    </row>
    <row r="55">
      <c r="C55" s="49"/>
    </row>
    <row r="56">
      <c r="C56" s="49"/>
    </row>
    <row r="57">
      <c r="C57" s="49"/>
    </row>
    <row r="58">
      <c r="C58" s="49"/>
    </row>
    <row r="59">
      <c r="C59" s="49"/>
    </row>
    <row r="60">
      <c r="C60" s="49"/>
    </row>
    <row r="61">
      <c r="C61" s="49"/>
    </row>
    <row r="62">
      <c r="C62" s="49"/>
    </row>
    <row r="63">
      <c r="C63" s="49"/>
    </row>
    <row r="64">
      <c r="C64" s="49"/>
    </row>
    <row r="65">
      <c r="C65" s="49"/>
    </row>
    <row r="66">
      <c r="C66" s="49"/>
    </row>
    <row r="67">
      <c r="C67" s="49"/>
    </row>
    <row r="68">
      <c r="C68" s="49"/>
    </row>
    <row r="69">
      <c r="C69" s="49"/>
    </row>
    <row r="70">
      <c r="C70" s="49"/>
    </row>
    <row r="71">
      <c r="C71" s="49"/>
    </row>
    <row r="72">
      <c r="C72" s="49"/>
    </row>
    <row r="73">
      <c r="C73" s="49"/>
    </row>
    <row r="74">
      <c r="C74" s="49"/>
    </row>
    <row r="75">
      <c r="C75" s="49"/>
    </row>
    <row r="76">
      <c r="C76" s="49"/>
    </row>
    <row r="77">
      <c r="C77" s="49"/>
    </row>
    <row r="78">
      <c r="C78" s="49"/>
    </row>
    <row r="79">
      <c r="C79" s="49"/>
    </row>
    <row r="80">
      <c r="C80" s="49"/>
    </row>
    <row r="81">
      <c r="C81" s="49"/>
    </row>
    <row r="82">
      <c r="C82" s="49"/>
    </row>
    <row r="83">
      <c r="C83" s="49"/>
    </row>
    <row r="84">
      <c r="C84" s="49"/>
    </row>
    <row r="85">
      <c r="C85" s="49"/>
    </row>
    <row r="86">
      <c r="C86" s="49"/>
    </row>
    <row r="87">
      <c r="C87" s="49"/>
    </row>
    <row r="88">
      <c r="C88" s="49"/>
    </row>
    <row r="89">
      <c r="C89" s="49"/>
    </row>
    <row r="90">
      <c r="C90" s="49"/>
    </row>
    <row r="91">
      <c r="C91" s="49"/>
    </row>
    <row r="92">
      <c r="C92" s="49"/>
    </row>
    <row r="93">
      <c r="C93" s="49"/>
    </row>
    <row r="94">
      <c r="C94" s="49"/>
    </row>
    <row r="95">
      <c r="C95" s="49"/>
    </row>
    <row r="96">
      <c r="C96" s="49"/>
    </row>
    <row r="97">
      <c r="C97" s="49"/>
    </row>
    <row r="98">
      <c r="C98" s="49"/>
    </row>
    <row r="99">
      <c r="C99" s="49"/>
    </row>
    <row r="100">
      <c r="C100" s="49"/>
    </row>
    <row r="101">
      <c r="C101" s="49"/>
    </row>
  </sheetData>
  <autoFilter ref="$A$1:$C$101"/>
  <mergeCells count="1">
    <mergeCell ref="C7:F7"/>
  </mergeCells>
  <drawing ns1:id="rId1"/>
</worksheet>
</file>

<file path=xl/worksheets/sheet6.xml><?xml version="1.0" encoding="utf-8"?>
<worksheet xmlns="http://schemas.openxmlformats.org/spreadsheetml/2006/main" xmlns:ns1="http://schemas.openxmlformats.org/officeDocument/2006/relationships">
  <dimension ref="A1:F300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7.63"/>
    <col customWidth="1" min="3" max="3" width="25.13"/>
    <col customWidth="1" min="4" max="4" width="17.63"/>
    <col customWidth="1" min="5" max="5" width="13.88"/>
    <col customWidth="1" min="6" max="6" width="52.63"/>
  </cols>
  <sheetData>
    <row r="1" ht="22.5" customHeight="1">
      <c r="A1" s="50" t="s">
        <v>60</v>
      </c>
      <c r="B1" s="50" t="s">
        <v>15</v>
      </c>
      <c r="C1" s="50" t="s">
        <v>16</v>
      </c>
      <c r="D1" s="50" t="s">
        <v>19</v>
      </c>
      <c r="E1" s="50" t="s">
        <v>61</v>
      </c>
      <c r="F1" s="50" t="s">
        <v>62</v>
      </c>
    </row>
    <row r="2">
      <c r="A2" s="51">
        <v>45912.01172019676</v>
      </c>
      <c r="B2" s="24" t="s">
        <v>27</v>
      </c>
      <c r="C2" s="24" t="s">
        <v>63</v>
      </c>
      <c r="D2" s="24" t="s">
        <v>31</v>
      </c>
      <c r="E2" s="52" t="s">
        <v>64</v>
      </c>
      <c r="F2" s="24" t="s">
        <v>65</v>
      </c>
    </row>
    <row r="3">
      <c r="A3" s="53">
        <v>45912.01170662037</v>
      </c>
      <c r="B3" s="28" t="s">
        <v>27</v>
      </c>
      <c r="C3" s="28" t="s">
        <v>66</v>
      </c>
      <c r="D3" s="28" t="s">
        <v>31</v>
      </c>
      <c r="E3" s="52" t="s">
        <v>64</v>
      </c>
      <c r="F3" s="28" t="s">
        <v>65</v>
      </c>
    </row>
    <row r="4">
      <c r="A4" s="51">
        <v>45912.01166726852</v>
      </c>
      <c r="B4" s="24" t="s">
        <v>27</v>
      </c>
      <c r="C4" s="24" t="s">
        <v>67</v>
      </c>
      <c r="D4" s="24" t="s">
        <v>31</v>
      </c>
      <c r="E4" s="52" t="s">
        <v>64</v>
      </c>
      <c r="F4" s="24" t="s">
        <v>65</v>
      </c>
    </row>
    <row r="5">
      <c r="A5" s="53">
        <v>45906.07566300926</v>
      </c>
      <c r="B5" s="28" t="s">
        <v>27</v>
      </c>
      <c r="C5" s="28" t="s">
        <v>63</v>
      </c>
      <c r="D5" s="28" t="s">
        <v>31</v>
      </c>
      <c r="E5" s="52" t="s">
        <v>64</v>
      </c>
      <c r="F5" s="28" t="s">
        <v>68</v>
      </c>
    </row>
    <row r="6">
      <c r="A6" s="51">
        <v>45906.05171958334</v>
      </c>
      <c r="B6" s="24" t="s">
        <v>27</v>
      </c>
      <c r="C6" s="24" t="s">
        <v>63</v>
      </c>
      <c r="D6" s="24" t="s">
        <v>31</v>
      </c>
      <c r="E6" s="52" t="s">
        <v>64</v>
      </c>
      <c r="F6" s="24" t="s">
        <v>68</v>
      </c>
    </row>
    <row r="7">
      <c r="A7" s="53">
        <v>45906.05169202546</v>
      </c>
      <c r="B7" s="28" t="s">
        <v>27</v>
      </c>
      <c r="C7" s="28" t="s">
        <v>66</v>
      </c>
      <c r="D7" s="28" t="s">
        <v>31</v>
      </c>
      <c r="E7" s="52" t="s">
        <v>64</v>
      </c>
      <c r="F7" s="28" t="s">
        <v>68</v>
      </c>
    </row>
    <row r="8">
      <c r="A8" s="51">
        <v>45906.051652870374</v>
      </c>
      <c r="B8" s="24" t="s">
        <v>27</v>
      </c>
      <c r="C8" s="24" t="s">
        <v>67</v>
      </c>
      <c r="D8" s="24" t="s">
        <v>31</v>
      </c>
      <c r="E8" s="52" t="s">
        <v>64</v>
      </c>
      <c r="F8" s="24" t="s">
        <v>68</v>
      </c>
    </row>
    <row r="9">
      <c r="A9" s="53">
        <v>45906.042098171296</v>
      </c>
      <c r="B9" s="28" t="s">
        <v>27</v>
      </c>
      <c r="C9" s="28" t="s">
        <v>63</v>
      </c>
      <c r="D9" s="28" t="s">
        <v>31</v>
      </c>
      <c r="E9" s="52" t="s">
        <v>64</v>
      </c>
      <c r="F9" s="28" t="s">
        <v>68</v>
      </c>
    </row>
    <row r="10">
      <c r="A10" s="51">
        <v>45906.04208568287</v>
      </c>
      <c r="B10" s="24" t="s">
        <v>27</v>
      </c>
      <c r="C10" s="24" t="s">
        <v>66</v>
      </c>
      <c r="D10" s="24" t="s">
        <v>31</v>
      </c>
      <c r="E10" s="52" t="s">
        <v>64</v>
      </c>
      <c r="F10" s="24" t="s">
        <v>68</v>
      </c>
    </row>
    <row r="11">
      <c r="A11" s="53">
        <v>45906.042060949076</v>
      </c>
      <c r="B11" s="28" t="s">
        <v>27</v>
      </c>
      <c r="C11" s="28" t="s">
        <v>67</v>
      </c>
      <c r="D11" s="28" t="s">
        <v>31</v>
      </c>
      <c r="E11" s="52" t="s">
        <v>64</v>
      </c>
      <c r="F11" s="28" t="s">
        <v>68</v>
      </c>
    </row>
    <row r="12">
      <c r="A12" s="51">
        <v>45906.04013912037</v>
      </c>
      <c r="B12" s="24" t="s">
        <v>27</v>
      </c>
      <c r="C12" s="24" t="s">
        <v>63</v>
      </c>
      <c r="D12" s="24" t="s">
        <v>31</v>
      </c>
      <c r="E12" s="52" t="s">
        <v>64</v>
      </c>
      <c r="F12" s="24" t="s">
        <v>68</v>
      </c>
    </row>
    <row r="13">
      <c r="A13" s="53">
        <v>45906.04012878472</v>
      </c>
      <c r="B13" s="28" t="s">
        <v>27</v>
      </c>
      <c r="C13" s="28" t="s">
        <v>66</v>
      </c>
      <c r="D13" s="28" t="s">
        <v>31</v>
      </c>
      <c r="E13" s="52" t="s">
        <v>64</v>
      </c>
      <c r="F13" s="28" t="s">
        <v>68</v>
      </c>
    </row>
    <row r="14">
      <c r="A14" s="51">
        <v>45906.04010252315</v>
      </c>
      <c r="B14" s="24" t="s">
        <v>27</v>
      </c>
      <c r="C14" s="24" t="s">
        <v>67</v>
      </c>
      <c r="D14" s="24" t="s">
        <v>31</v>
      </c>
      <c r="E14" s="52" t="s">
        <v>64</v>
      </c>
      <c r="F14" s="24" t="s">
        <v>68</v>
      </c>
    </row>
    <row r="15">
      <c r="A15" s="53">
        <v>45906.01338314815</v>
      </c>
      <c r="B15" s="28" t="s">
        <v>27</v>
      </c>
      <c r="C15" s="28" t="s">
        <v>63</v>
      </c>
      <c r="D15" s="28" t="s">
        <v>31</v>
      </c>
      <c r="E15" s="52" t="s">
        <v>64</v>
      </c>
      <c r="F15" s="28" t="s">
        <v>68</v>
      </c>
    </row>
    <row r="16">
      <c r="A16" s="51">
        <v>45906.01336884259</v>
      </c>
      <c r="B16" s="24" t="s">
        <v>27</v>
      </c>
      <c r="C16" s="24" t="s">
        <v>66</v>
      </c>
      <c r="D16" s="24" t="s">
        <v>31</v>
      </c>
      <c r="E16" s="52" t="s">
        <v>64</v>
      </c>
      <c r="F16" s="24" t="s">
        <v>68</v>
      </c>
    </row>
    <row r="17">
      <c r="A17" s="53">
        <v>45906.013333263894</v>
      </c>
      <c r="B17" s="28" t="s">
        <v>27</v>
      </c>
      <c r="C17" s="28" t="s">
        <v>67</v>
      </c>
      <c r="D17" s="28" t="s">
        <v>31</v>
      </c>
      <c r="E17" s="54" t="s">
        <v>69</v>
      </c>
      <c r="F17" s="28" t="s">
        <v>70</v>
      </c>
    </row>
    <row r="18">
      <c r="A18" s="51">
        <v>45906.01279607639</v>
      </c>
      <c r="B18" s="24" t="s">
        <v>27</v>
      </c>
      <c r="C18" s="24" t="s">
        <v>63</v>
      </c>
      <c r="D18" s="24" t="s">
        <v>31</v>
      </c>
      <c r="E18" s="52" t="s">
        <v>64</v>
      </c>
      <c r="F18" s="24" t="s">
        <v>68</v>
      </c>
    </row>
    <row r="19">
      <c r="A19" s="53">
        <v>45906.012785300925</v>
      </c>
      <c r="B19" s="28" t="s">
        <v>27</v>
      </c>
      <c r="C19" s="28" t="s">
        <v>66</v>
      </c>
      <c r="D19" s="28" t="s">
        <v>31</v>
      </c>
      <c r="E19" s="52" t="s">
        <v>64</v>
      </c>
      <c r="F19" s="28" t="s">
        <v>68</v>
      </c>
    </row>
    <row r="20">
      <c r="A20" s="51">
        <v>45906.012757812496</v>
      </c>
      <c r="B20" s="24" t="s">
        <v>27</v>
      </c>
      <c r="C20" s="24" t="s">
        <v>67</v>
      </c>
      <c r="D20" s="24" t="s">
        <v>31</v>
      </c>
      <c r="E20" s="55" t="s">
        <v>71</v>
      </c>
      <c r="F20" s="24" t="s">
        <v>72</v>
      </c>
    </row>
    <row r="21">
      <c r="A21" s="53">
        <v>45906.00835924769</v>
      </c>
      <c r="B21" s="28" t="s">
        <v>27</v>
      </c>
      <c r="C21" s="28" t="s">
        <v>63</v>
      </c>
      <c r="D21" s="28" t="s">
        <v>31</v>
      </c>
      <c r="E21" s="52" t="s">
        <v>64</v>
      </c>
      <c r="F21" s="28" t="s">
        <v>68</v>
      </c>
    </row>
    <row r="22">
      <c r="A22" s="51">
        <v>45906.00834141204</v>
      </c>
      <c r="B22" s="24" t="s">
        <v>27</v>
      </c>
      <c r="C22" s="24" t="s">
        <v>66</v>
      </c>
      <c r="D22" s="24" t="s">
        <v>31</v>
      </c>
      <c r="E22" s="52" t="s">
        <v>64</v>
      </c>
      <c r="F22" s="24" t="s">
        <v>68</v>
      </c>
    </row>
    <row r="23">
      <c r="A23" s="53">
        <v>45906.00831446759</v>
      </c>
      <c r="B23" s="28" t="s">
        <v>73</v>
      </c>
      <c r="C23" s="28" t="s">
        <v>74</v>
      </c>
      <c r="D23" s="28" t="s">
        <v>31</v>
      </c>
      <c r="E23" s="52" t="s">
        <v>64</v>
      </c>
      <c r="F23" s="28" t="s">
        <v>75</v>
      </c>
    </row>
    <row r="24">
      <c r="A24" s="51">
        <v>45906.00830266204</v>
      </c>
      <c r="B24" s="24" t="s">
        <v>27</v>
      </c>
      <c r="C24" s="24" t="s">
        <v>67</v>
      </c>
      <c r="D24" s="24" t="s">
        <v>31</v>
      </c>
      <c r="E24" s="55" t="s">
        <v>71</v>
      </c>
      <c r="F24" s="24" t="s">
        <v>76</v>
      </c>
    </row>
    <row r="25">
      <c r="A25" s="53">
        <v>45906.0064509375</v>
      </c>
      <c r="B25" s="28" t="s">
        <v>27</v>
      </c>
      <c r="C25" s="28" t="s">
        <v>63</v>
      </c>
      <c r="D25" s="28" t="s">
        <v>31</v>
      </c>
      <c r="E25" s="54" t="s">
        <v>69</v>
      </c>
      <c r="F25" s="28" t="s">
        <v>77</v>
      </c>
    </row>
    <row r="26">
      <c r="A26" s="51">
        <v>45906.00642813658</v>
      </c>
      <c r="B26" s="24" t="s">
        <v>27</v>
      </c>
      <c r="C26" s="24" t="s">
        <v>66</v>
      </c>
      <c r="D26" s="24" t="s">
        <v>31</v>
      </c>
      <c r="E26" s="54" t="s">
        <v>69</v>
      </c>
      <c r="F26" s="24" t="s">
        <v>77</v>
      </c>
    </row>
    <row r="27">
      <c r="A27" s="53">
        <v>45899.02844775463</v>
      </c>
      <c r="B27" s="28" t="s">
        <v>27</v>
      </c>
      <c r="C27" s="28" t="s">
        <v>63</v>
      </c>
      <c r="D27" s="28" t="s">
        <v>31</v>
      </c>
      <c r="E27" s="52" t="s">
        <v>64</v>
      </c>
      <c r="F27" s="28" t="s">
        <v>78</v>
      </c>
    </row>
    <row r="28">
      <c r="A28" s="51">
        <v>45899.02843371528</v>
      </c>
      <c r="B28" s="24" t="s">
        <v>27</v>
      </c>
      <c r="C28" s="24" t="s">
        <v>66</v>
      </c>
      <c r="D28" s="24" t="s">
        <v>31</v>
      </c>
      <c r="E28" s="52" t="s">
        <v>64</v>
      </c>
      <c r="F28" s="24" t="s">
        <v>79</v>
      </c>
    </row>
    <row r="29">
      <c r="A29" s="53">
        <v>45899.02822755787</v>
      </c>
      <c r="B29" s="28" t="s">
        <v>27</v>
      </c>
      <c r="C29" s="28" t="s">
        <v>63</v>
      </c>
      <c r="D29" s="28" t="s">
        <v>31</v>
      </c>
      <c r="E29" s="52" t="s">
        <v>64</v>
      </c>
      <c r="F29" s="28" t="s">
        <v>78</v>
      </c>
    </row>
    <row r="30">
      <c r="A30" s="51">
        <v>45899.02820803241</v>
      </c>
      <c r="B30" s="24" t="s">
        <v>27</v>
      </c>
      <c r="C30" s="24" t="s">
        <v>66</v>
      </c>
      <c r="D30" s="24" t="s">
        <v>31</v>
      </c>
      <c r="E30" s="52" t="s">
        <v>64</v>
      </c>
      <c r="F30" s="24" t="s">
        <v>79</v>
      </c>
    </row>
    <row r="31">
      <c r="A31" s="53">
        <v>45899.02032142361</v>
      </c>
      <c r="B31" s="28" t="s">
        <v>27</v>
      </c>
      <c r="C31" s="28" t="s">
        <v>63</v>
      </c>
      <c r="D31" s="28" t="s">
        <v>31</v>
      </c>
      <c r="E31" s="52" t="s">
        <v>64</v>
      </c>
      <c r="F31" s="28" t="s">
        <v>78</v>
      </c>
    </row>
    <row r="32">
      <c r="A32" s="51">
        <v>45899.020311493055</v>
      </c>
      <c r="B32" s="24" t="s">
        <v>27</v>
      </c>
      <c r="C32" s="24" t="s">
        <v>66</v>
      </c>
      <c r="D32" s="24" t="s">
        <v>31</v>
      </c>
      <c r="E32" s="52" t="s">
        <v>64</v>
      </c>
      <c r="F32" s="24" t="s">
        <v>79</v>
      </c>
    </row>
    <row r="33">
      <c r="A33" s="53">
        <v>45892.76515820602</v>
      </c>
      <c r="B33" s="28" t="s">
        <v>27</v>
      </c>
      <c r="C33" s="28" t="s">
        <v>80</v>
      </c>
      <c r="D33" s="28" t="s">
        <v>31</v>
      </c>
      <c r="E33" s="54" t="s">
        <v>69</v>
      </c>
      <c r="F33" s="28"/>
    </row>
    <row r="34">
      <c r="A34" s="51">
        <v>45893.96830868056</v>
      </c>
      <c r="B34" s="24" t="s">
        <v>27</v>
      </c>
      <c r="C34" s="24" t="s">
        <v>81</v>
      </c>
      <c r="D34" s="24" t="s">
        <v>31</v>
      </c>
      <c r="E34" s="56" t="s">
        <v>82</v>
      </c>
      <c r="F34" s="24" t="s">
        <v>83</v>
      </c>
    </row>
    <row r="35">
      <c r="A35" s="53">
        <v>45893.970976701385</v>
      </c>
      <c r="B35" s="28" t="s">
        <v>27</v>
      </c>
      <c r="C35" s="28" t="s">
        <v>84</v>
      </c>
      <c r="D35" s="28" t="s">
        <v>31</v>
      </c>
      <c r="E35" s="54" t="s">
        <v>69</v>
      </c>
      <c r="F35" s="28"/>
    </row>
    <row r="36">
      <c r="A36" s="51">
        <v>45893.996936145835</v>
      </c>
      <c r="B36" s="24" t="s">
        <v>27</v>
      </c>
      <c r="C36" s="24" t="s">
        <v>63</v>
      </c>
      <c r="D36" s="24"/>
      <c r="E36" s="56" t="s">
        <v>82</v>
      </c>
      <c r="F36" s="24" t="s">
        <v>85</v>
      </c>
    </row>
    <row r="37">
      <c r="A37" s="53">
        <v>45893.9969369676</v>
      </c>
      <c r="B37" s="28" t="s">
        <v>27</v>
      </c>
      <c r="C37" s="28" t="s">
        <v>86</v>
      </c>
      <c r="D37" s="28" t="s">
        <v>31</v>
      </c>
      <c r="E37" s="52" t="s">
        <v>64</v>
      </c>
      <c r="F37" s="28" t="s">
        <v>75</v>
      </c>
    </row>
    <row r="38">
      <c r="A38" s="51">
        <v>45893.99693825231</v>
      </c>
      <c r="B38" s="24" t="s">
        <v>27</v>
      </c>
      <c r="C38" s="24" t="s">
        <v>84</v>
      </c>
      <c r="D38" s="24" t="s">
        <v>31</v>
      </c>
      <c r="E38" s="52" t="s">
        <v>64</v>
      </c>
      <c r="F38" s="24" t="s">
        <v>75</v>
      </c>
    </row>
    <row r="39">
      <c r="A39" s="53">
        <v>45894.37767412037</v>
      </c>
      <c r="B39" s="28" t="s">
        <v>27</v>
      </c>
      <c r="C39" s="28" t="s">
        <v>63</v>
      </c>
      <c r="D39" s="28"/>
      <c r="E39" s="56" t="s">
        <v>82</v>
      </c>
      <c r="F39" s="28" t="s">
        <v>85</v>
      </c>
    </row>
    <row r="40">
      <c r="A40" s="51">
        <v>45894.405227870375</v>
      </c>
      <c r="B40" s="24" t="s">
        <v>27</v>
      </c>
      <c r="C40" s="24" t="s">
        <v>63</v>
      </c>
      <c r="D40" s="24"/>
      <c r="E40" s="56" t="s">
        <v>82</v>
      </c>
      <c r="F40" s="24" t="s">
        <v>85</v>
      </c>
    </row>
    <row r="41">
      <c r="A41" s="53">
        <v>45894.416332719906</v>
      </c>
      <c r="B41" s="28" t="s">
        <v>27</v>
      </c>
      <c r="C41" s="28" t="s">
        <v>63</v>
      </c>
      <c r="D41" s="28"/>
      <c r="E41" s="56" t="s">
        <v>82</v>
      </c>
      <c r="F41" s="28" t="s">
        <v>85</v>
      </c>
    </row>
    <row r="42">
      <c r="A42" s="51">
        <v>45895.377680624995</v>
      </c>
      <c r="B42" s="24" t="s">
        <v>27</v>
      </c>
      <c r="C42" s="24" t="s">
        <v>63</v>
      </c>
      <c r="D42" s="24"/>
      <c r="E42" s="56" t="s">
        <v>82</v>
      </c>
      <c r="F42" s="24" t="s">
        <v>85</v>
      </c>
    </row>
    <row r="43">
      <c r="A43" s="53">
        <v>45895.40523949074</v>
      </c>
      <c r="B43" s="28" t="s">
        <v>27</v>
      </c>
      <c r="C43" s="28" t="s">
        <v>63</v>
      </c>
      <c r="D43" s="28"/>
      <c r="E43" s="56" t="s">
        <v>82</v>
      </c>
      <c r="F43" s="28" t="s">
        <v>85</v>
      </c>
    </row>
    <row r="44">
      <c r="A44" s="51">
        <v>45895.41634847222</v>
      </c>
      <c r="B44" s="24" t="s">
        <v>27</v>
      </c>
      <c r="C44" s="24" t="s">
        <v>63</v>
      </c>
      <c r="D44" s="24"/>
      <c r="E44" s="56" t="s">
        <v>82</v>
      </c>
      <c r="F44" s="24" t="s">
        <v>85</v>
      </c>
    </row>
    <row r="45">
      <c r="A45" s="53">
        <v>45896.37766891204</v>
      </c>
      <c r="B45" s="28" t="s">
        <v>27</v>
      </c>
      <c r="C45" s="28" t="s">
        <v>63</v>
      </c>
      <c r="D45" s="28"/>
      <c r="E45" s="56" t="s">
        <v>82</v>
      </c>
      <c r="F45" s="28" t="s">
        <v>85</v>
      </c>
    </row>
    <row r="46">
      <c r="A46" s="51">
        <v>45896.40523259259</v>
      </c>
      <c r="B46" s="24" t="s">
        <v>27</v>
      </c>
      <c r="C46" s="24" t="s">
        <v>63</v>
      </c>
      <c r="D46" s="24"/>
      <c r="E46" s="56" t="s">
        <v>82</v>
      </c>
      <c r="F46" s="24" t="s">
        <v>85</v>
      </c>
    </row>
    <row r="47">
      <c r="A47" s="53">
        <v>45896.41634144676</v>
      </c>
      <c r="B47" s="28" t="s">
        <v>27</v>
      </c>
      <c r="C47" s="28" t="s">
        <v>63</v>
      </c>
      <c r="D47" s="28"/>
      <c r="E47" s="56" t="s">
        <v>82</v>
      </c>
      <c r="F47" s="28" t="s">
        <v>85</v>
      </c>
    </row>
    <row r="48">
      <c r="A48" s="51">
        <v>45897.377668298606</v>
      </c>
      <c r="B48" s="24" t="s">
        <v>27</v>
      </c>
      <c r="C48" s="24" t="s">
        <v>63</v>
      </c>
      <c r="D48" s="24"/>
      <c r="E48" s="56" t="s">
        <v>82</v>
      </c>
      <c r="F48" s="24" t="s">
        <v>85</v>
      </c>
    </row>
    <row r="49">
      <c r="A49" s="53">
        <v>45897.40521236111</v>
      </c>
      <c r="B49" s="28" t="s">
        <v>27</v>
      </c>
      <c r="C49" s="28" t="s">
        <v>63</v>
      </c>
      <c r="D49" s="28"/>
      <c r="E49" s="56" t="s">
        <v>82</v>
      </c>
      <c r="F49" s="28" t="s">
        <v>85</v>
      </c>
    </row>
    <row r="50">
      <c r="A50" s="51">
        <v>45897.41633489583</v>
      </c>
      <c r="B50" s="24" t="s">
        <v>27</v>
      </c>
      <c r="C50" s="24" t="s">
        <v>63</v>
      </c>
      <c r="D50" s="24"/>
      <c r="E50" s="56" t="s">
        <v>82</v>
      </c>
      <c r="F50" s="24" t="s">
        <v>85</v>
      </c>
    </row>
    <row r="51">
      <c r="A51" s="53">
        <v>45897.98415971065</v>
      </c>
      <c r="B51" s="28" t="s">
        <v>27</v>
      </c>
      <c r="C51" s="28" t="s">
        <v>63</v>
      </c>
      <c r="D51" s="28" t="s">
        <v>31</v>
      </c>
      <c r="E51" s="54" t="s">
        <v>69</v>
      </c>
      <c r="F51" s="28"/>
    </row>
    <row r="52">
      <c r="A52" s="51">
        <v>45898.00200003472</v>
      </c>
      <c r="B52" s="24" t="s">
        <v>27</v>
      </c>
      <c r="C52" s="24" t="s">
        <v>66</v>
      </c>
      <c r="D52" s="24" t="s">
        <v>31</v>
      </c>
      <c r="E52" s="54" t="s">
        <v>69</v>
      </c>
      <c r="F52" s="24"/>
    </row>
    <row r="53">
      <c r="A53" s="53">
        <v>45898.996951388894</v>
      </c>
      <c r="B53" s="28" t="s">
        <v>27</v>
      </c>
      <c r="C53" s="28" t="s">
        <v>66</v>
      </c>
      <c r="D53" s="28" t="s">
        <v>31</v>
      </c>
      <c r="E53" s="52" t="s">
        <v>64</v>
      </c>
      <c r="F53" s="28" t="s">
        <v>87</v>
      </c>
    </row>
    <row r="54">
      <c r="A54" s="51">
        <v>45899.011409618055</v>
      </c>
      <c r="B54" s="24" t="s">
        <v>27</v>
      </c>
      <c r="C54" s="24" t="s">
        <v>66</v>
      </c>
      <c r="D54" s="24" t="s">
        <v>31</v>
      </c>
      <c r="E54" s="52" t="s">
        <v>64</v>
      </c>
      <c r="F54" s="24" t="s">
        <v>79</v>
      </c>
    </row>
    <row r="55">
      <c r="A55" s="53">
        <v>45899.01141104166</v>
      </c>
      <c r="B55" s="28" t="s">
        <v>27</v>
      </c>
      <c r="C55" s="28" t="s">
        <v>63</v>
      </c>
      <c r="D55" s="28" t="s">
        <v>31</v>
      </c>
      <c r="E55" s="52" t="s">
        <v>64</v>
      </c>
      <c r="F55" s="28" t="s">
        <v>78</v>
      </c>
    </row>
    <row r="56">
      <c r="A56" s="51">
        <v>46022.41569887732</v>
      </c>
      <c r="B56" s="24" t="s">
        <v>27</v>
      </c>
      <c r="C56" s="24" t="s">
        <v>28</v>
      </c>
      <c r="D56" s="24" t="s">
        <v>31</v>
      </c>
      <c r="E56" s="52" t="s">
        <v>64</v>
      </c>
      <c r="F56" s="24" t="s">
        <v>75</v>
      </c>
    </row>
    <row r="57">
      <c r="A57" s="53">
        <v>46023.415703067134</v>
      </c>
      <c r="B57" s="28" t="s">
        <v>27</v>
      </c>
      <c r="C57" s="28" t="s">
        <v>28</v>
      </c>
      <c r="D57" s="28" t="s">
        <v>31</v>
      </c>
      <c r="E57" s="52" t="s">
        <v>64</v>
      </c>
      <c r="F57" s="28" t="s">
        <v>75</v>
      </c>
    </row>
    <row r="58">
      <c r="A58" s="51">
        <v>46024.41569822917</v>
      </c>
      <c r="B58" s="24" t="s">
        <v>27</v>
      </c>
      <c r="C58" s="24" t="s">
        <v>28</v>
      </c>
      <c r="D58" s="24" t="s">
        <v>31</v>
      </c>
      <c r="E58" s="52" t="s">
        <v>64</v>
      </c>
      <c r="F58" s="24" t="s">
        <v>75</v>
      </c>
    </row>
    <row r="59">
      <c r="A59" s="53">
        <v>46025.41574269676</v>
      </c>
      <c r="B59" s="28" t="s">
        <v>27</v>
      </c>
      <c r="C59" s="28" t="s">
        <v>28</v>
      </c>
      <c r="D59" s="28" t="s">
        <v>31</v>
      </c>
      <c r="E59" s="52" t="s">
        <v>64</v>
      </c>
      <c r="F59" s="28" t="s">
        <v>75</v>
      </c>
    </row>
    <row r="60">
      <c r="A60" s="51">
        <v>46026.41569686343</v>
      </c>
      <c r="B60" s="24" t="s">
        <v>27</v>
      </c>
      <c r="C60" s="24" t="s">
        <v>28</v>
      </c>
      <c r="D60" s="24" t="s">
        <v>31</v>
      </c>
      <c r="E60" s="52" t="s">
        <v>64</v>
      </c>
      <c r="F60" s="24" t="s">
        <v>75</v>
      </c>
    </row>
    <row r="61">
      <c r="A61" s="53">
        <v>46027.41570770834</v>
      </c>
      <c r="B61" s="28" t="s">
        <v>27</v>
      </c>
      <c r="C61" s="28" t="s">
        <v>28</v>
      </c>
      <c r="D61" s="28" t="s">
        <v>31</v>
      </c>
      <c r="E61" s="52" t="s">
        <v>64</v>
      </c>
      <c r="F61" s="28" t="s">
        <v>75</v>
      </c>
    </row>
    <row r="62">
      <c r="A62" s="51">
        <v>46028.415723252314</v>
      </c>
      <c r="B62" s="24" t="s">
        <v>27</v>
      </c>
      <c r="C62" s="24" t="s">
        <v>28</v>
      </c>
      <c r="D62" s="24" t="s">
        <v>31</v>
      </c>
      <c r="E62" s="52" t="s">
        <v>64</v>
      </c>
      <c r="F62" s="24" t="s">
        <v>75</v>
      </c>
    </row>
    <row r="63">
      <c r="A63" s="53">
        <v>46029.415693483796</v>
      </c>
      <c r="B63" s="28" t="s">
        <v>27</v>
      </c>
      <c r="C63" s="28" t="s">
        <v>28</v>
      </c>
      <c r="D63" s="28" t="s">
        <v>31</v>
      </c>
      <c r="E63" s="52" t="s">
        <v>64</v>
      </c>
      <c r="F63" s="28" t="s">
        <v>75</v>
      </c>
    </row>
    <row r="64">
      <c r="A64" s="51">
        <v>46030.4157091088</v>
      </c>
      <c r="B64" s="24" t="s">
        <v>27</v>
      </c>
      <c r="C64" s="24" t="s">
        <v>28</v>
      </c>
      <c r="D64" s="24" t="s">
        <v>31</v>
      </c>
      <c r="E64" s="52" t="s">
        <v>64</v>
      </c>
      <c r="F64" s="24" t="s">
        <v>75</v>
      </c>
    </row>
    <row r="65">
      <c r="A65" s="53">
        <v>46031.41570246528</v>
      </c>
      <c r="B65" s="28" t="s">
        <v>27</v>
      </c>
      <c r="C65" s="28" t="s">
        <v>28</v>
      </c>
      <c r="D65" s="28" t="s">
        <v>31</v>
      </c>
      <c r="E65" s="52" t="s">
        <v>64</v>
      </c>
      <c r="F65" s="28" t="s">
        <v>75</v>
      </c>
    </row>
    <row r="66">
      <c r="A66" s="51">
        <v>46032.41570575231</v>
      </c>
      <c r="B66" s="24" t="s">
        <v>27</v>
      </c>
      <c r="C66" s="24" t="s">
        <v>28</v>
      </c>
      <c r="D66" s="24" t="s">
        <v>31</v>
      </c>
      <c r="E66" s="52" t="s">
        <v>64</v>
      </c>
      <c r="F66" s="24" t="s">
        <v>75</v>
      </c>
    </row>
    <row r="67">
      <c r="A67" s="53">
        <v>46033.415802268515</v>
      </c>
      <c r="B67" s="28" t="s">
        <v>27</v>
      </c>
      <c r="C67" s="28" t="s">
        <v>28</v>
      </c>
      <c r="D67" s="28" t="s">
        <v>31</v>
      </c>
      <c r="E67" s="52" t="s">
        <v>64</v>
      </c>
      <c r="F67" s="28" t="s">
        <v>75</v>
      </c>
    </row>
    <row r="68">
      <c r="A68" s="51">
        <v>46034.41569010417</v>
      </c>
      <c r="B68" s="24" t="s">
        <v>27</v>
      </c>
      <c r="C68" s="24" t="s">
        <v>28</v>
      </c>
      <c r="D68" s="24" t="s">
        <v>31</v>
      </c>
      <c r="E68" s="52" t="s">
        <v>64</v>
      </c>
      <c r="F68" s="24" t="s">
        <v>75</v>
      </c>
    </row>
    <row r="69">
      <c r="A69" s="53">
        <v>46035.41569736111</v>
      </c>
      <c r="B69" s="28" t="s">
        <v>27</v>
      </c>
      <c r="C69" s="28" t="s">
        <v>28</v>
      </c>
      <c r="D69" s="28" t="s">
        <v>31</v>
      </c>
      <c r="E69" s="52" t="s">
        <v>64</v>
      </c>
      <c r="F69" s="28" t="s">
        <v>75</v>
      </c>
    </row>
    <row r="70">
      <c r="A70" s="51">
        <v>46036.41571475695</v>
      </c>
      <c r="B70" s="24" t="s">
        <v>27</v>
      </c>
      <c r="C70" s="24" t="s">
        <v>28</v>
      </c>
      <c r="D70" s="24" t="s">
        <v>31</v>
      </c>
      <c r="E70" s="52" t="s">
        <v>64</v>
      </c>
      <c r="F70" s="24" t="s">
        <v>75</v>
      </c>
    </row>
    <row r="71">
      <c r="A71" s="53">
        <v>46037.41570525463</v>
      </c>
      <c r="B71" s="28" t="s">
        <v>27</v>
      </c>
      <c r="C71" s="28" t="s">
        <v>28</v>
      </c>
      <c r="D71" s="28" t="s">
        <v>31</v>
      </c>
      <c r="E71" s="52" t="s">
        <v>64</v>
      </c>
      <c r="F71" s="28" t="s">
        <v>75</v>
      </c>
    </row>
    <row r="72">
      <c r="A72" s="51">
        <v>46038.41586385417</v>
      </c>
      <c r="B72" s="24" t="s">
        <v>27</v>
      </c>
      <c r="C72" s="24" t="s">
        <v>28</v>
      </c>
      <c r="D72" s="24" t="s">
        <v>31</v>
      </c>
      <c r="E72" s="52" t="s">
        <v>64</v>
      </c>
      <c r="F72" s="24" t="s">
        <v>75</v>
      </c>
    </row>
    <row r="73">
      <c r="A73" s="53">
        <v>46039.415767893515</v>
      </c>
      <c r="B73" s="28" t="s">
        <v>27</v>
      </c>
      <c r="C73" s="28" t="s">
        <v>28</v>
      </c>
      <c r="D73" s="28" t="s">
        <v>31</v>
      </c>
      <c r="E73" s="52" t="s">
        <v>64</v>
      </c>
      <c r="F73" s="28" t="s">
        <v>75</v>
      </c>
    </row>
    <row r="74">
      <c r="A74" s="51">
        <v>46040.41572423611</v>
      </c>
      <c r="B74" s="24" t="s">
        <v>27</v>
      </c>
      <c r="C74" s="24" t="s">
        <v>28</v>
      </c>
      <c r="D74" s="24" t="s">
        <v>31</v>
      </c>
      <c r="E74" s="52" t="s">
        <v>64</v>
      </c>
      <c r="F74" s="24" t="s">
        <v>75</v>
      </c>
    </row>
    <row r="75">
      <c r="A75" s="53">
        <v>46041.41572363426</v>
      </c>
      <c r="B75" s="28" t="s">
        <v>27</v>
      </c>
      <c r="C75" s="28" t="s">
        <v>28</v>
      </c>
      <c r="D75" s="28" t="s">
        <v>31</v>
      </c>
      <c r="E75" s="52" t="s">
        <v>64</v>
      </c>
      <c r="F75" s="28" t="s">
        <v>75</v>
      </c>
    </row>
    <row r="76">
      <c r="A76" s="51">
        <v>46042.415700682875</v>
      </c>
      <c r="B76" s="24" t="s">
        <v>27</v>
      </c>
      <c r="C76" s="24" t="s">
        <v>28</v>
      </c>
      <c r="D76" s="24" t="s">
        <v>31</v>
      </c>
      <c r="E76" s="52" t="s">
        <v>64</v>
      </c>
      <c r="F76" s="24" t="s">
        <v>75</v>
      </c>
    </row>
    <row r="77">
      <c r="A77" s="53">
        <v>46043.41572017361</v>
      </c>
      <c r="B77" s="28" t="s">
        <v>27</v>
      </c>
      <c r="C77" s="28" t="s">
        <v>28</v>
      </c>
      <c r="D77" s="28" t="s">
        <v>31</v>
      </c>
      <c r="E77" s="52" t="s">
        <v>64</v>
      </c>
      <c r="F77" s="28" t="s">
        <v>75</v>
      </c>
    </row>
    <row r="78">
      <c r="A78" s="51">
        <v>46044.41571981482</v>
      </c>
      <c r="B78" s="24" t="s">
        <v>27</v>
      </c>
      <c r="C78" s="24" t="s">
        <v>28</v>
      </c>
      <c r="D78" s="24" t="s">
        <v>31</v>
      </c>
      <c r="E78" s="52" t="s">
        <v>64</v>
      </c>
      <c r="F78" s="24" t="s">
        <v>75</v>
      </c>
    </row>
    <row r="79">
      <c r="A79" s="53">
        <v>46045.415727291664</v>
      </c>
      <c r="B79" s="28" t="s">
        <v>27</v>
      </c>
      <c r="C79" s="28" t="s">
        <v>28</v>
      </c>
      <c r="D79" s="28" t="s">
        <v>31</v>
      </c>
      <c r="E79" s="52" t="s">
        <v>64</v>
      </c>
      <c r="F79" s="28" t="s">
        <v>75</v>
      </c>
    </row>
    <row r="80">
      <c r="A80" s="51">
        <v>46046.41571356481</v>
      </c>
      <c r="B80" s="24" t="s">
        <v>27</v>
      </c>
      <c r="C80" s="24" t="s">
        <v>28</v>
      </c>
      <c r="D80" s="24" t="s">
        <v>31</v>
      </c>
      <c r="E80" s="52" t="s">
        <v>64</v>
      </c>
      <c r="F80" s="24" t="s">
        <v>75</v>
      </c>
    </row>
    <row r="81">
      <c r="A81" s="53">
        <v>46047.41573368055</v>
      </c>
      <c r="B81" s="28" t="s">
        <v>27</v>
      </c>
      <c r="C81" s="28" t="s">
        <v>28</v>
      </c>
      <c r="D81" s="28" t="s">
        <v>31</v>
      </c>
      <c r="E81" s="52" t="s">
        <v>64</v>
      </c>
      <c r="F81" s="28" t="s">
        <v>75</v>
      </c>
    </row>
    <row r="82">
      <c r="A82" s="51">
        <v>46048.41572653935</v>
      </c>
      <c r="B82" s="24" t="s">
        <v>27</v>
      </c>
      <c r="C82" s="24" t="s">
        <v>28</v>
      </c>
      <c r="D82" s="24" t="s">
        <v>31</v>
      </c>
      <c r="E82" s="52" t="s">
        <v>64</v>
      </c>
      <c r="F82" s="24" t="s">
        <v>75</v>
      </c>
    </row>
    <row r="83">
      <c r="A83" s="53">
        <v>46049.415702060185</v>
      </c>
      <c r="B83" s="28" t="s">
        <v>27</v>
      </c>
      <c r="C83" s="28" t="s">
        <v>28</v>
      </c>
      <c r="D83" s="28" t="s">
        <v>31</v>
      </c>
      <c r="E83" s="52" t="s">
        <v>64</v>
      </c>
      <c r="F83" s="28" t="s">
        <v>75</v>
      </c>
    </row>
    <row r="84">
      <c r="A84" s="51">
        <v>46050.415716284726</v>
      </c>
      <c r="B84" s="24" t="s">
        <v>27</v>
      </c>
      <c r="C84" s="24" t="s">
        <v>28</v>
      </c>
      <c r="D84" s="24" t="s">
        <v>31</v>
      </c>
      <c r="E84" s="52" t="s">
        <v>64</v>
      </c>
      <c r="F84" s="24" t="s">
        <v>75</v>
      </c>
    </row>
    <row r="85">
      <c r="A85" s="53">
        <v>46051.41569122685</v>
      </c>
      <c r="B85" s="28" t="s">
        <v>27</v>
      </c>
      <c r="C85" s="28" t="s">
        <v>28</v>
      </c>
      <c r="D85" s="28" t="s">
        <v>31</v>
      </c>
      <c r="E85" s="52" t="s">
        <v>64</v>
      </c>
      <c r="F85" s="28" t="s">
        <v>75</v>
      </c>
    </row>
    <row r="86">
      <c r="A86" s="51">
        <v>46052.41570159722</v>
      </c>
      <c r="B86" s="24" t="s">
        <v>27</v>
      </c>
      <c r="C86" s="24" t="s">
        <v>28</v>
      </c>
      <c r="D86" s="24" t="s">
        <v>31</v>
      </c>
      <c r="E86" s="52" t="s">
        <v>64</v>
      </c>
      <c r="F86" s="24" t="s">
        <v>75</v>
      </c>
    </row>
    <row r="87">
      <c r="A87" s="53">
        <v>46053.41573100694</v>
      </c>
      <c r="B87" s="28" t="s">
        <v>27</v>
      </c>
      <c r="C87" s="28" t="s">
        <v>28</v>
      </c>
      <c r="D87" s="28" t="s">
        <v>31</v>
      </c>
      <c r="E87" s="52" t="s">
        <v>64</v>
      </c>
      <c r="F87" s="28" t="s">
        <v>75</v>
      </c>
    </row>
    <row r="88">
      <c r="A88" s="51">
        <v>46054.41570684028</v>
      </c>
      <c r="B88" s="24" t="s">
        <v>27</v>
      </c>
      <c r="C88" s="24" t="s">
        <v>28</v>
      </c>
      <c r="D88" s="24" t="s">
        <v>31</v>
      </c>
      <c r="E88" s="52" t="s">
        <v>64</v>
      </c>
      <c r="F88" s="24" t="s">
        <v>75</v>
      </c>
    </row>
    <row r="89">
      <c r="A89" s="53">
        <v>46055.41570949074</v>
      </c>
      <c r="B89" s="28" t="s">
        <v>27</v>
      </c>
      <c r="C89" s="28" t="s">
        <v>28</v>
      </c>
      <c r="D89" s="28" t="s">
        <v>31</v>
      </c>
      <c r="E89" s="52" t="s">
        <v>64</v>
      </c>
      <c r="F89" s="28" t="s">
        <v>75</v>
      </c>
    </row>
    <row r="90">
      <c r="A90" s="51">
        <v>46056.415713599534</v>
      </c>
      <c r="B90" s="24" t="s">
        <v>27</v>
      </c>
      <c r="C90" s="24" t="s">
        <v>28</v>
      </c>
      <c r="D90" s="24" t="s">
        <v>31</v>
      </c>
      <c r="E90" s="52" t="s">
        <v>64</v>
      </c>
      <c r="F90" s="24" t="s">
        <v>75</v>
      </c>
    </row>
    <row r="91">
      <c r="A91" s="53">
        <v>46057.41570736111</v>
      </c>
      <c r="B91" s="28" t="s">
        <v>27</v>
      </c>
      <c r="C91" s="28" t="s">
        <v>28</v>
      </c>
      <c r="D91" s="28" t="s">
        <v>31</v>
      </c>
      <c r="E91" s="52" t="s">
        <v>64</v>
      </c>
      <c r="F91" s="28" t="s">
        <v>75</v>
      </c>
    </row>
    <row r="92">
      <c r="A92" s="51">
        <v>46058.41570996528</v>
      </c>
      <c r="B92" s="24" t="s">
        <v>27</v>
      </c>
      <c r="C92" s="24" t="s">
        <v>28</v>
      </c>
      <c r="D92" s="24" t="s">
        <v>31</v>
      </c>
      <c r="E92" s="52" t="s">
        <v>64</v>
      </c>
      <c r="F92" s="24" t="s">
        <v>75</v>
      </c>
    </row>
    <row r="93">
      <c r="A93" s="53">
        <v>46059.41569108797</v>
      </c>
      <c r="B93" s="28" t="s">
        <v>27</v>
      </c>
      <c r="C93" s="28" t="s">
        <v>28</v>
      </c>
      <c r="D93" s="28" t="s">
        <v>31</v>
      </c>
      <c r="E93" s="52" t="s">
        <v>64</v>
      </c>
      <c r="F93" s="28" t="s">
        <v>75</v>
      </c>
    </row>
    <row r="94">
      <c r="A94" s="51">
        <v>46060.41569666666</v>
      </c>
      <c r="B94" s="24" t="s">
        <v>27</v>
      </c>
      <c r="C94" s="24" t="s">
        <v>28</v>
      </c>
      <c r="D94" s="24" t="s">
        <v>31</v>
      </c>
      <c r="E94" s="52" t="s">
        <v>64</v>
      </c>
      <c r="F94" s="24" t="s">
        <v>75</v>
      </c>
    </row>
    <row r="95">
      <c r="A95" s="53">
        <v>46061.415741377314</v>
      </c>
      <c r="B95" s="28" t="s">
        <v>27</v>
      </c>
      <c r="C95" s="28" t="s">
        <v>28</v>
      </c>
      <c r="D95" s="28" t="s">
        <v>31</v>
      </c>
      <c r="E95" s="52" t="s">
        <v>64</v>
      </c>
      <c r="F95" s="28" t="s">
        <v>75</v>
      </c>
    </row>
    <row r="96">
      <c r="A96" s="51">
        <v>46062.41569451389</v>
      </c>
      <c r="B96" s="24" t="s">
        <v>27</v>
      </c>
      <c r="C96" s="24" t="s">
        <v>28</v>
      </c>
      <c r="D96" s="24" t="s">
        <v>31</v>
      </c>
      <c r="E96" s="52" t="s">
        <v>64</v>
      </c>
      <c r="F96" s="24" t="s">
        <v>75</v>
      </c>
    </row>
    <row r="97">
      <c r="A97" s="53">
        <v>46063.41572802083</v>
      </c>
      <c r="B97" s="28" t="s">
        <v>27</v>
      </c>
      <c r="C97" s="28" t="s">
        <v>28</v>
      </c>
      <c r="D97" s="28" t="s">
        <v>31</v>
      </c>
      <c r="E97" s="52" t="s">
        <v>64</v>
      </c>
      <c r="F97" s="28" t="s">
        <v>75</v>
      </c>
    </row>
    <row r="98">
      <c r="A98" s="51">
        <v>46064.415793622684</v>
      </c>
      <c r="B98" s="24" t="s">
        <v>27</v>
      </c>
      <c r="C98" s="24" t="s">
        <v>28</v>
      </c>
      <c r="D98" s="24" t="s">
        <v>31</v>
      </c>
      <c r="E98" s="52" t="s">
        <v>64</v>
      </c>
      <c r="F98" s="24" t="s">
        <v>75</v>
      </c>
    </row>
    <row r="99">
      <c r="A99" s="53">
        <v>46065.415704768515</v>
      </c>
      <c r="B99" s="28" t="s">
        <v>27</v>
      </c>
      <c r="C99" s="28" t="s">
        <v>28</v>
      </c>
      <c r="D99" s="28" t="s">
        <v>31</v>
      </c>
      <c r="E99" s="52" t="s">
        <v>64</v>
      </c>
      <c r="F99" s="28" t="s">
        <v>75</v>
      </c>
    </row>
    <row r="100">
      <c r="A100" s="51">
        <v>46066.41569165509</v>
      </c>
      <c r="B100" s="24" t="s">
        <v>27</v>
      </c>
      <c r="C100" s="24" t="s">
        <v>28</v>
      </c>
      <c r="D100" s="24" t="s">
        <v>31</v>
      </c>
      <c r="E100" s="52" t="s">
        <v>64</v>
      </c>
      <c r="F100" s="24" t="s">
        <v>75</v>
      </c>
    </row>
    <row r="101">
      <c r="A101" s="53">
        <v>46067.41570377315</v>
      </c>
      <c r="B101" s="28" t="s">
        <v>27</v>
      </c>
      <c r="C101" s="28" t="s">
        <v>28</v>
      </c>
      <c r="D101" s="28" t="s">
        <v>31</v>
      </c>
      <c r="E101" s="52" t="s">
        <v>64</v>
      </c>
      <c r="F101" s="28" t="s">
        <v>75</v>
      </c>
    </row>
    <row r="102">
      <c r="A102" s="51">
        <v>46068.41574951389</v>
      </c>
      <c r="B102" s="24" t="s">
        <v>27</v>
      </c>
      <c r="C102" s="24" t="s">
        <v>28</v>
      </c>
      <c r="D102" s="24" t="s">
        <v>31</v>
      </c>
      <c r="E102" s="52" t="s">
        <v>64</v>
      </c>
      <c r="F102" s="24" t="s">
        <v>75</v>
      </c>
    </row>
    <row r="103">
      <c r="A103" s="53">
        <v>46069.41571758102</v>
      </c>
      <c r="B103" s="28" t="s">
        <v>27</v>
      </c>
      <c r="C103" s="28" t="s">
        <v>28</v>
      </c>
      <c r="D103" s="28" t="s">
        <v>31</v>
      </c>
      <c r="E103" s="52" t="s">
        <v>64</v>
      </c>
      <c r="F103" s="28" t="s">
        <v>75</v>
      </c>
    </row>
    <row r="104">
      <c r="A104" s="51">
        <v>46070.41581600695</v>
      </c>
      <c r="B104" s="24" t="s">
        <v>27</v>
      </c>
      <c r="C104" s="24" t="s">
        <v>28</v>
      </c>
      <c r="D104" s="24" t="s">
        <v>31</v>
      </c>
      <c r="E104" s="52" t="s">
        <v>64</v>
      </c>
      <c r="F104" s="24" t="s">
        <v>75</v>
      </c>
    </row>
    <row r="105">
      <c r="A105" s="53">
        <v>46071.41572275463</v>
      </c>
      <c r="B105" s="28" t="s">
        <v>27</v>
      </c>
      <c r="C105" s="28" t="s">
        <v>28</v>
      </c>
      <c r="D105" s="28" t="s">
        <v>31</v>
      </c>
      <c r="E105" s="52" t="s">
        <v>64</v>
      </c>
      <c r="F105" s="28" t="s">
        <v>75</v>
      </c>
    </row>
    <row r="106">
      <c r="A106" s="51">
        <v>46072.415691574075</v>
      </c>
      <c r="B106" s="24" t="s">
        <v>27</v>
      </c>
      <c r="C106" s="24" t="s">
        <v>28</v>
      </c>
      <c r="D106" s="24" t="s">
        <v>31</v>
      </c>
      <c r="E106" s="52" t="s">
        <v>64</v>
      </c>
      <c r="F106" s="24" t="s">
        <v>75</v>
      </c>
    </row>
    <row r="107">
      <c r="A107" s="53">
        <v>46073.41570915509</v>
      </c>
      <c r="B107" s="28" t="s">
        <v>27</v>
      </c>
      <c r="C107" s="28" t="s">
        <v>28</v>
      </c>
      <c r="D107" s="28" t="s">
        <v>31</v>
      </c>
      <c r="E107" s="52" t="s">
        <v>64</v>
      </c>
      <c r="F107" s="28" t="s">
        <v>75</v>
      </c>
    </row>
    <row r="108">
      <c r="A108" s="51">
        <v>46074.4157046412</v>
      </c>
      <c r="B108" s="24" t="s">
        <v>27</v>
      </c>
      <c r="C108" s="24" t="s">
        <v>28</v>
      </c>
      <c r="D108" s="24" t="s">
        <v>31</v>
      </c>
      <c r="E108" s="52" t="s">
        <v>64</v>
      </c>
      <c r="F108" s="24" t="s">
        <v>75</v>
      </c>
    </row>
    <row r="109">
      <c r="A109" s="53">
        <v>46075.415695358795</v>
      </c>
      <c r="B109" s="28" t="s">
        <v>27</v>
      </c>
      <c r="C109" s="28" t="s">
        <v>28</v>
      </c>
      <c r="D109" s="28" t="s">
        <v>31</v>
      </c>
      <c r="E109" s="52" t="s">
        <v>64</v>
      </c>
      <c r="F109" s="28" t="s">
        <v>75</v>
      </c>
    </row>
    <row r="110">
      <c r="A110" s="51">
        <v>46076.41571331018</v>
      </c>
      <c r="B110" s="24" t="s">
        <v>27</v>
      </c>
      <c r="C110" s="24" t="s">
        <v>28</v>
      </c>
      <c r="D110" s="24" t="s">
        <v>31</v>
      </c>
      <c r="E110" s="52" t="s">
        <v>64</v>
      </c>
      <c r="F110" s="24" t="s">
        <v>75</v>
      </c>
    </row>
    <row r="111">
      <c r="A111" s="53">
        <v>46077.41570400463</v>
      </c>
      <c r="B111" s="28" t="s">
        <v>27</v>
      </c>
      <c r="C111" s="28" t="s">
        <v>28</v>
      </c>
      <c r="D111" s="28" t="s">
        <v>31</v>
      </c>
      <c r="E111" s="52" t="s">
        <v>64</v>
      </c>
      <c r="F111" s="28" t="s">
        <v>75</v>
      </c>
    </row>
    <row r="112">
      <c r="A112" s="51">
        <v>46078.41570618056</v>
      </c>
      <c r="B112" s="24" t="s">
        <v>27</v>
      </c>
      <c r="C112" s="24" t="s">
        <v>28</v>
      </c>
      <c r="D112" s="24" t="s">
        <v>31</v>
      </c>
      <c r="E112" s="52" t="s">
        <v>64</v>
      </c>
      <c r="F112" s="24" t="s">
        <v>75</v>
      </c>
    </row>
    <row r="113">
      <c r="A113" s="53">
        <v>46079.41574157408</v>
      </c>
      <c r="B113" s="28" t="s">
        <v>27</v>
      </c>
      <c r="C113" s="28" t="s">
        <v>28</v>
      </c>
      <c r="D113" s="28" t="s">
        <v>31</v>
      </c>
      <c r="E113" s="52" t="s">
        <v>64</v>
      </c>
      <c r="F113" s="28" t="s">
        <v>75</v>
      </c>
    </row>
    <row r="114">
      <c r="A114" s="51">
        <v>46080.41576523148</v>
      </c>
      <c r="B114" s="24" t="s">
        <v>27</v>
      </c>
      <c r="C114" s="24" t="s">
        <v>28</v>
      </c>
      <c r="D114" s="24" t="s">
        <v>31</v>
      </c>
      <c r="E114" s="52" t="s">
        <v>64</v>
      </c>
      <c r="F114" s="24" t="s">
        <v>75</v>
      </c>
    </row>
    <row r="115">
      <c r="A115" s="53">
        <v>46081.4157209375</v>
      </c>
      <c r="B115" s="28" t="s">
        <v>27</v>
      </c>
      <c r="C115" s="28" t="s">
        <v>28</v>
      </c>
      <c r="D115" s="28" t="s">
        <v>31</v>
      </c>
      <c r="E115" s="52" t="s">
        <v>64</v>
      </c>
      <c r="F115" s="28" t="s">
        <v>75</v>
      </c>
    </row>
    <row r="116">
      <c r="A116" s="51">
        <v>46082.41571122685</v>
      </c>
      <c r="B116" s="24" t="s">
        <v>27</v>
      </c>
      <c r="C116" s="24" t="s">
        <v>28</v>
      </c>
      <c r="D116" s="24" t="s">
        <v>31</v>
      </c>
      <c r="E116" s="52" t="s">
        <v>64</v>
      </c>
      <c r="F116" s="24" t="s">
        <v>75</v>
      </c>
    </row>
    <row r="117">
      <c r="A117" s="53">
        <v>46083.41589189815</v>
      </c>
      <c r="B117" s="28" t="s">
        <v>27</v>
      </c>
      <c r="C117" s="28" t="s">
        <v>28</v>
      </c>
      <c r="D117" s="28" t="s">
        <v>31</v>
      </c>
      <c r="E117" s="52" t="s">
        <v>64</v>
      </c>
      <c r="F117" s="28" t="s">
        <v>75</v>
      </c>
    </row>
    <row r="118">
      <c r="A118" s="51">
        <v>46084.41571916667</v>
      </c>
      <c r="B118" s="24" t="s">
        <v>27</v>
      </c>
      <c r="C118" s="24" t="s">
        <v>28</v>
      </c>
      <c r="D118" s="24" t="s">
        <v>31</v>
      </c>
      <c r="E118" s="52" t="s">
        <v>64</v>
      </c>
      <c r="F118" s="24" t="s">
        <v>75</v>
      </c>
    </row>
    <row r="119">
      <c r="A119" s="53">
        <v>46085.41574347222</v>
      </c>
      <c r="B119" s="28" t="s">
        <v>27</v>
      </c>
      <c r="C119" s="28" t="s">
        <v>28</v>
      </c>
      <c r="D119" s="28" t="s">
        <v>31</v>
      </c>
      <c r="E119" s="52" t="s">
        <v>64</v>
      </c>
      <c r="F119" s="28" t="s">
        <v>75</v>
      </c>
    </row>
    <row r="120">
      <c r="A120" s="51">
        <v>46086.41570798611</v>
      </c>
      <c r="B120" s="24" t="s">
        <v>27</v>
      </c>
      <c r="C120" s="24" t="s">
        <v>28</v>
      </c>
      <c r="D120" s="24" t="s">
        <v>31</v>
      </c>
      <c r="E120" s="52" t="s">
        <v>64</v>
      </c>
      <c r="F120" s="24" t="s">
        <v>75</v>
      </c>
    </row>
    <row r="121">
      <c r="A121" s="53">
        <v>46087.41573445602</v>
      </c>
      <c r="B121" s="28" t="s">
        <v>27</v>
      </c>
      <c r="C121" s="28" t="s">
        <v>28</v>
      </c>
      <c r="D121" s="28" t="s">
        <v>31</v>
      </c>
      <c r="E121" s="52" t="s">
        <v>64</v>
      </c>
      <c r="F121" s="28" t="s">
        <v>75</v>
      </c>
    </row>
    <row r="122">
      <c r="A122" s="51">
        <v>46088.415696296295</v>
      </c>
      <c r="B122" s="24" t="s">
        <v>27</v>
      </c>
      <c r="C122" s="24" t="s">
        <v>28</v>
      </c>
      <c r="D122" s="24" t="s">
        <v>31</v>
      </c>
      <c r="E122" s="52" t="s">
        <v>64</v>
      </c>
      <c r="F122" s="24" t="s">
        <v>75</v>
      </c>
    </row>
    <row r="123">
      <c r="A123" s="53">
        <v>46089.41570697917</v>
      </c>
      <c r="B123" s="28" t="s">
        <v>27</v>
      </c>
      <c r="C123" s="28" t="s">
        <v>28</v>
      </c>
      <c r="D123" s="28" t="s">
        <v>31</v>
      </c>
      <c r="E123" s="52" t="s">
        <v>64</v>
      </c>
      <c r="F123" s="28" t="s">
        <v>75</v>
      </c>
    </row>
    <row r="124">
      <c r="A124" s="51">
        <v>46090.41574119213</v>
      </c>
      <c r="B124" s="24" t="s">
        <v>27</v>
      </c>
      <c r="C124" s="24" t="s">
        <v>28</v>
      </c>
      <c r="D124" s="24" t="s">
        <v>31</v>
      </c>
      <c r="E124" s="52" t="s">
        <v>64</v>
      </c>
      <c r="F124" s="24" t="s">
        <v>75</v>
      </c>
    </row>
    <row r="125">
      <c r="A125" s="53">
        <v>46091.415716759264</v>
      </c>
      <c r="B125" s="28" t="s">
        <v>27</v>
      </c>
      <c r="C125" s="28" t="s">
        <v>28</v>
      </c>
      <c r="D125" s="28" t="s">
        <v>31</v>
      </c>
      <c r="E125" s="52" t="s">
        <v>64</v>
      </c>
      <c r="F125" s="28" t="s">
        <v>75</v>
      </c>
    </row>
    <row r="126">
      <c r="A126" s="51">
        <v>46092.41573263889</v>
      </c>
      <c r="B126" s="24" t="s">
        <v>27</v>
      </c>
      <c r="C126" s="24" t="s">
        <v>28</v>
      </c>
      <c r="D126" s="24" t="s">
        <v>31</v>
      </c>
      <c r="E126" s="52" t="s">
        <v>64</v>
      </c>
      <c r="F126" s="24" t="s">
        <v>75</v>
      </c>
    </row>
    <row r="127">
      <c r="A127" s="53">
        <v>46093.415761909724</v>
      </c>
      <c r="B127" s="28" t="s">
        <v>27</v>
      </c>
      <c r="C127" s="28" t="s">
        <v>28</v>
      </c>
      <c r="D127" s="28" t="s">
        <v>31</v>
      </c>
      <c r="E127" s="52" t="s">
        <v>64</v>
      </c>
      <c r="F127" s="28" t="s">
        <v>75</v>
      </c>
    </row>
    <row r="128">
      <c r="A128" s="51">
        <v>46094.41577719907</v>
      </c>
      <c r="B128" s="24" t="s">
        <v>27</v>
      </c>
      <c r="C128" s="24" t="s">
        <v>28</v>
      </c>
      <c r="D128" s="24" t="s">
        <v>31</v>
      </c>
      <c r="E128" s="52" t="s">
        <v>64</v>
      </c>
      <c r="F128" s="24" t="s">
        <v>75</v>
      </c>
    </row>
    <row r="129">
      <c r="A129" s="53">
        <v>46095.41572204861</v>
      </c>
      <c r="B129" s="28" t="s">
        <v>27</v>
      </c>
      <c r="C129" s="28" t="s">
        <v>28</v>
      </c>
      <c r="D129" s="28" t="s">
        <v>31</v>
      </c>
      <c r="E129" s="52" t="s">
        <v>64</v>
      </c>
      <c r="F129" s="28" t="s">
        <v>75</v>
      </c>
    </row>
    <row r="130">
      <c r="A130" s="51">
        <v>46096.41572113426</v>
      </c>
      <c r="B130" s="24" t="s">
        <v>27</v>
      </c>
      <c r="C130" s="24" t="s">
        <v>28</v>
      </c>
      <c r="D130" s="24" t="s">
        <v>31</v>
      </c>
      <c r="E130" s="52" t="s">
        <v>64</v>
      </c>
      <c r="F130" s="24" t="s">
        <v>75</v>
      </c>
    </row>
    <row r="131">
      <c r="A131" s="53">
        <v>46097.415711504626</v>
      </c>
      <c r="B131" s="28" t="s">
        <v>27</v>
      </c>
      <c r="C131" s="28" t="s">
        <v>28</v>
      </c>
      <c r="D131" s="28" t="s">
        <v>31</v>
      </c>
      <c r="E131" s="52" t="s">
        <v>64</v>
      </c>
      <c r="F131" s="28" t="s">
        <v>75</v>
      </c>
    </row>
    <row r="132">
      <c r="A132" s="51">
        <v>46098.41571594907</v>
      </c>
      <c r="B132" s="24" t="s">
        <v>27</v>
      </c>
      <c r="C132" s="24" t="s">
        <v>28</v>
      </c>
      <c r="D132" s="24" t="s">
        <v>31</v>
      </c>
      <c r="E132" s="52" t="s">
        <v>64</v>
      </c>
      <c r="F132" s="24" t="s">
        <v>75</v>
      </c>
    </row>
    <row r="133">
      <c r="A133" s="53">
        <v>46099.41571452546</v>
      </c>
      <c r="B133" s="28" t="s">
        <v>27</v>
      </c>
      <c r="C133" s="28" t="s">
        <v>28</v>
      </c>
      <c r="D133" s="28" t="s">
        <v>31</v>
      </c>
      <c r="E133" s="52" t="s">
        <v>64</v>
      </c>
      <c r="F133" s="28" t="s">
        <v>75</v>
      </c>
    </row>
    <row r="134">
      <c r="A134" s="51">
        <v>46100.415737222225</v>
      </c>
      <c r="B134" s="24" t="s">
        <v>27</v>
      </c>
      <c r="C134" s="24" t="s">
        <v>28</v>
      </c>
      <c r="D134" s="24" t="s">
        <v>31</v>
      </c>
      <c r="E134" s="52" t="s">
        <v>64</v>
      </c>
      <c r="F134" s="24" t="s">
        <v>75</v>
      </c>
    </row>
    <row r="135">
      <c r="A135" s="53">
        <v>46101.41573112269</v>
      </c>
      <c r="B135" s="28" t="s">
        <v>27</v>
      </c>
      <c r="C135" s="28" t="s">
        <v>28</v>
      </c>
      <c r="D135" s="28" t="s">
        <v>31</v>
      </c>
      <c r="E135" s="52" t="s">
        <v>64</v>
      </c>
      <c r="F135" s="28" t="s">
        <v>75</v>
      </c>
    </row>
    <row r="136">
      <c r="A136" s="51">
        <v>46102.415698807876</v>
      </c>
      <c r="B136" s="24" t="s">
        <v>27</v>
      </c>
      <c r="C136" s="24" t="s">
        <v>28</v>
      </c>
      <c r="D136" s="24" t="s">
        <v>31</v>
      </c>
      <c r="E136" s="52" t="s">
        <v>64</v>
      </c>
      <c r="F136" s="24" t="s">
        <v>75</v>
      </c>
    </row>
    <row r="137">
      <c r="A137" s="53">
        <v>46103.415703715276</v>
      </c>
      <c r="B137" s="28" t="s">
        <v>27</v>
      </c>
      <c r="C137" s="28" t="s">
        <v>28</v>
      </c>
      <c r="D137" s="28" t="s">
        <v>31</v>
      </c>
      <c r="E137" s="52" t="s">
        <v>64</v>
      </c>
      <c r="F137" s="28" t="s">
        <v>75</v>
      </c>
    </row>
    <row r="138">
      <c r="A138" s="51">
        <v>46104.41572340278</v>
      </c>
      <c r="B138" s="24" t="s">
        <v>27</v>
      </c>
      <c r="C138" s="24" t="s">
        <v>28</v>
      </c>
      <c r="D138" s="24" t="s">
        <v>31</v>
      </c>
      <c r="E138" s="52" t="s">
        <v>64</v>
      </c>
      <c r="F138" s="24" t="s">
        <v>75</v>
      </c>
    </row>
    <row r="139">
      <c r="A139" s="53">
        <v>46105.415763032404</v>
      </c>
      <c r="B139" s="28" t="s">
        <v>27</v>
      </c>
      <c r="C139" s="28" t="s">
        <v>28</v>
      </c>
      <c r="D139" s="28" t="s">
        <v>31</v>
      </c>
      <c r="E139" s="52" t="s">
        <v>64</v>
      </c>
      <c r="F139" s="28" t="s">
        <v>75</v>
      </c>
    </row>
    <row r="140">
      <c r="A140" s="51">
        <v>46106.415715243056</v>
      </c>
      <c r="B140" s="24" t="s">
        <v>27</v>
      </c>
      <c r="C140" s="24" t="s">
        <v>28</v>
      </c>
      <c r="D140" s="24" t="s">
        <v>31</v>
      </c>
      <c r="E140" s="52" t="s">
        <v>64</v>
      </c>
      <c r="F140" s="24" t="s">
        <v>75</v>
      </c>
    </row>
    <row r="141">
      <c r="A141" s="53">
        <v>46107.415761516204</v>
      </c>
      <c r="B141" s="28" t="s">
        <v>27</v>
      </c>
      <c r="C141" s="28" t="s">
        <v>28</v>
      </c>
      <c r="D141" s="28" t="s">
        <v>31</v>
      </c>
      <c r="E141" s="52" t="s">
        <v>64</v>
      </c>
      <c r="F141" s="28" t="s">
        <v>75</v>
      </c>
    </row>
    <row r="142">
      <c r="A142" s="51">
        <v>46107.99568555555</v>
      </c>
      <c r="B142" s="24" t="s">
        <v>27</v>
      </c>
      <c r="C142" s="24" t="s">
        <v>28</v>
      </c>
      <c r="D142" s="24" t="s">
        <v>31</v>
      </c>
      <c r="E142" s="55" t="s">
        <v>71</v>
      </c>
      <c r="F142" s="24" t="s">
        <v>88</v>
      </c>
    </row>
    <row r="143">
      <c r="A143" s="53">
        <v>46108.4157325</v>
      </c>
      <c r="B143" s="28" t="s">
        <v>27</v>
      </c>
      <c r="C143" s="28" t="s">
        <v>28</v>
      </c>
      <c r="D143" s="28" t="s">
        <v>31</v>
      </c>
      <c r="E143" s="52" t="s">
        <v>64</v>
      </c>
      <c r="F143" s="28" t="s">
        <v>75</v>
      </c>
    </row>
    <row r="144">
      <c r="A144" s="57">
        <v>46109.41575039352</v>
      </c>
      <c r="B144" s="4" t="s">
        <v>27</v>
      </c>
      <c r="C144" s="4" t="s">
        <v>28</v>
      </c>
      <c r="D144" s="4" t="s">
        <v>31</v>
      </c>
      <c r="E144" s="4" t="s">
        <v>64</v>
      </c>
      <c r="F144" s="4" t="s">
        <v>75</v>
      </c>
    </row>
    <row r="145">
      <c r="A145" s="58"/>
      <c r="B145" s="4"/>
      <c r="C145" s="4"/>
      <c r="D145" s="4"/>
      <c r="E145" s="4"/>
      <c r="F145" s="4"/>
    </row>
    <row r="146">
      <c r="A146" s="58"/>
      <c r="B146" s="4"/>
      <c r="C146" s="4"/>
      <c r="D146" s="4"/>
      <c r="E146" s="4"/>
      <c r="F146" s="4"/>
    </row>
    <row r="147">
      <c r="A147" s="58"/>
      <c r="B147" s="4"/>
      <c r="C147" s="4"/>
      <c r="D147" s="4"/>
      <c r="E147" s="4"/>
      <c r="F147" s="4"/>
    </row>
    <row r="148">
      <c r="A148" s="58"/>
      <c r="B148" s="4"/>
      <c r="C148" s="4"/>
      <c r="D148" s="4"/>
      <c r="E148" s="4"/>
      <c r="F148" s="4"/>
    </row>
    <row r="149">
      <c r="A149" s="58"/>
      <c r="B149" s="4"/>
      <c r="C149" s="4"/>
      <c r="D149" s="4"/>
      <c r="E149" s="4"/>
      <c r="F149" s="4"/>
    </row>
    <row r="150">
      <c r="A150" s="58"/>
      <c r="B150" s="4"/>
      <c r="C150" s="4"/>
      <c r="D150" s="4"/>
      <c r="E150" s="4"/>
      <c r="F150" s="4"/>
    </row>
    <row r="151">
      <c r="A151" s="58"/>
      <c r="B151" s="4"/>
      <c r="C151" s="4"/>
      <c r="D151" s="4"/>
      <c r="E151" s="4"/>
      <c r="F151" s="4"/>
    </row>
    <row r="152">
      <c r="A152" s="58"/>
      <c r="B152" s="4"/>
      <c r="C152" s="4"/>
      <c r="D152" s="4"/>
      <c r="E152" s="4"/>
      <c r="F152" s="4"/>
    </row>
    <row r="153">
      <c r="A153" s="58"/>
      <c r="B153" s="4"/>
      <c r="C153" s="4"/>
      <c r="D153" s="4"/>
      <c r="E153" s="4"/>
      <c r="F153" s="4"/>
    </row>
    <row r="154">
      <c r="A154" s="58"/>
      <c r="B154" s="4"/>
      <c r="C154" s="4"/>
      <c r="D154" s="4"/>
      <c r="E154" s="4"/>
      <c r="F154" s="4"/>
    </row>
    <row r="155">
      <c r="A155" s="58"/>
      <c r="B155" s="4"/>
      <c r="C155" s="4"/>
      <c r="D155" s="4"/>
      <c r="E155" s="4"/>
      <c r="F155" s="4"/>
    </row>
    <row r="156">
      <c r="A156" s="58"/>
      <c r="B156" s="4"/>
      <c r="C156" s="4"/>
      <c r="D156" s="4"/>
      <c r="E156" s="4"/>
      <c r="F156" s="4"/>
    </row>
    <row r="157">
      <c r="A157" s="58"/>
      <c r="B157" s="4"/>
      <c r="C157" s="4"/>
      <c r="D157" s="4"/>
      <c r="E157" s="4"/>
      <c r="F157" s="4"/>
    </row>
    <row r="158">
      <c r="A158" s="58"/>
      <c r="B158" s="4"/>
      <c r="C158" s="4"/>
      <c r="D158" s="4"/>
      <c r="E158" s="4"/>
      <c r="F158" s="4"/>
    </row>
    <row r="159">
      <c r="A159" s="58"/>
      <c r="B159" s="4"/>
      <c r="C159" s="4"/>
      <c r="D159" s="4"/>
      <c r="E159" s="4"/>
      <c r="F159" s="4"/>
    </row>
    <row r="160">
      <c r="A160" s="58"/>
      <c r="B160" s="4"/>
      <c r="C160" s="4"/>
      <c r="D160" s="4"/>
      <c r="E160" s="4"/>
      <c r="F160" s="4"/>
    </row>
    <row r="161">
      <c r="A161" s="58"/>
      <c r="B161" s="4"/>
      <c r="C161" s="4"/>
      <c r="D161" s="4"/>
      <c r="E161" s="4"/>
      <c r="F161" s="4"/>
    </row>
    <row r="162">
      <c r="A162" s="58"/>
      <c r="B162" s="4"/>
      <c r="C162" s="4"/>
      <c r="D162" s="4"/>
      <c r="E162" s="4"/>
      <c r="F162" s="4"/>
    </row>
    <row r="163">
      <c r="A163" s="58"/>
      <c r="B163" s="4"/>
      <c r="C163" s="4"/>
      <c r="D163" s="4"/>
      <c r="E163" s="4"/>
      <c r="F163" s="4"/>
    </row>
    <row r="164">
      <c r="A164" s="58"/>
      <c r="B164" s="4"/>
      <c r="C164" s="4"/>
      <c r="D164" s="4"/>
      <c r="E164" s="4"/>
      <c r="F164" s="4"/>
    </row>
    <row r="165">
      <c r="A165" s="58"/>
      <c r="B165" s="4"/>
      <c r="C165" s="4"/>
      <c r="D165" s="4"/>
      <c r="E165" s="4"/>
      <c r="F165" s="4"/>
    </row>
    <row r="166">
      <c r="A166" s="58"/>
      <c r="B166" s="4"/>
      <c r="C166" s="4"/>
      <c r="D166" s="4"/>
      <c r="E166" s="4"/>
      <c r="F166" s="4"/>
    </row>
    <row r="167">
      <c r="A167" s="58"/>
      <c r="B167" s="4"/>
      <c r="C167" s="4"/>
      <c r="D167" s="4"/>
      <c r="E167" s="4"/>
      <c r="F167" s="4"/>
    </row>
    <row r="168">
      <c r="A168" s="58"/>
      <c r="B168" s="4"/>
      <c r="C168" s="4"/>
      <c r="D168" s="4"/>
      <c r="E168" s="4"/>
      <c r="F168" s="4"/>
    </row>
    <row r="169">
      <c r="A169" s="58"/>
      <c r="B169" s="4"/>
      <c r="C169" s="4"/>
      <c r="D169" s="4"/>
      <c r="E169" s="4"/>
      <c r="F169" s="4"/>
    </row>
    <row r="170">
      <c r="A170" s="58"/>
      <c r="B170" s="4"/>
      <c r="C170" s="4"/>
      <c r="D170" s="4"/>
      <c r="E170" s="4"/>
      <c r="F170" s="4"/>
    </row>
    <row r="171">
      <c r="A171" s="58"/>
      <c r="B171" s="4"/>
      <c r="C171" s="4"/>
      <c r="D171" s="4"/>
      <c r="E171" s="4"/>
      <c r="F171" s="4"/>
    </row>
    <row r="172">
      <c r="A172" s="58"/>
      <c r="B172" s="4"/>
      <c r="C172" s="4"/>
      <c r="D172" s="4"/>
      <c r="E172" s="4"/>
      <c r="F172" s="4"/>
    </row>
    <row r="173">
      <c r="A173" s="58"/>
      <c r="B173" s="4"/>
      <c r="C173" s="4"/>
      <c r="D173" s="4"/>
      <c r="E173" s="4"/>
      <c r="F173" s="4"/>
    </row>
    <row r="174">
      <c r="A174" s="58"/>
      <c r="B174" s="4"/>
      <c r="C174" s="4"/>
      <c r="D174" s="4"/>
      <c r="E174" s="4"/>
      <c r="F174" s="4"/>
    </row>
    <row r="175">
      <c r="A175" s="58"/>
      <c r="B175" s="4"/>
      <c r="C175" s="4"/>
      <c r="D175" s="4"/>
      <c r="E175" s="4"/>
      <c r="F175" s="4"/>
    </row>
    <row r="176">
      <c r="A176" s="58"/>
      <c r="B176" s="4"/>
      <c r="C176" s="4"/>
      <c r="D176" s="4"/>
      <c r="E176" s="4"/>
      <c r="F176" s="4"/>
    </row>
    <row r="177">
      <c r="A177" s="58"/>
      <c r="B177" s="4"/>
      <c r="C177" s="4"/>
      <c r="D177" s="4"/>
      <c r="E177" s="4"/>
      <c r="F177" s="4"/>
    </row>
    <row r="178">
      <c r="A178" s="58"/>
      <c r="B178" s="4"/>
      <c r="C178" s="4"/>
      <c r="D178" s="4"/>
      <c r="E178" s="4"/>
      <c r="F178" s="4"/>
    </row>
    <row r="179">
      <c r="A179" s="58"/>
      <c r="B179" s="4"/>
      <c r="C179" s="4"/>
      <c r="D179" s="4"/>
      <c r="E179" s="4"/>
      <c r="F179" s="4"/>
    </row>
    <row r="180">
      <c r="A180" s="58"/>
      <c r="B180" s="4"/>
      <c r="C180" s="4"/>
      <c r="D180" s="4"/>
      <c r="E180" s="4"/>
      <c r="F180" s="4"/>
    </row>
    <row r="181">
      <c r="A181" s="58"/>
      <c r="B181" s="4"/>
      <c r="C181" s="4"/>
      <c r="D181" s="4"/>
      <c r="E181" s="4"/>
      <c r="F181" s="4"/>
    </row>
    <row r="182">
      <c r="A182" s="58"/>
      <c r="B182" s="4"/>
      <c r="C182" s="4"/>
      <c r="D182" s="4"/>
      <c r="E182" s="4"/>
      <c r="F182" s="4"/>
    </row>
    <row r="183">
      <c r="A183" s="58"/>
      <c r="B183" s="4"/>
      <c r="C183" s="4"/>
      <c r="D183" s="4"/>
      <c r="E183" s="4"/>
      <c r="F183" s="4"/>
    </row>
    <row r="184">
      <c r="A184" s="58"/>
      <c r="B184" s="4"/>
      <c r="C184" s="4"/>
      <c r="D184" s="4"/>
      <c r="E184" s="4"/>
      <c r="F184" s="4"/>
    </row>
    <row r="185">
      <c r="A185" s="58"/>
      <c r="B185" s="4"/>
      <c r="C185" s="4"/>
      <c r="D185" s="4"/>
      <c r="E185" s="4"/>
      <c r="F185" s="4"/>
    </row>
    <row r="186">
      <c r="A186" s="58"/>
      <c r="B186" s="4"/>
      <c r="C186" s="4"/>
      <c r="D186" s="4"/>
      <c r="E186" s="4"/>
      <c r="F186" s="4"/>
    </row>
    <row r="187">
      <c r="A187" s="58"/>
      <c r="B187" s="4"/>
      <c r="C187" s="4"/>
      <c r="D187" s="4"/>
      <c r="E187" s="4"/>
      <c r="F187" s="4"/>
    </row>
    <row r="188">
      <c r="A188" s="58"/>
      <c r="B188" s="4"/>
      <c r="C188" s="4"/>
      <c r="D188" s="4"/>
      <c r="E188" s="4"/>
      <c r="F188" s="4"/>
    </row>
    <row r="189">
      <c r="A189" s="58"/>
      <c r="B189" s="4"/>
      <c r="C189" s="4"/>
      <c r="D189" s="4"/>
      <c r="E189" s="4"/>
      <c r="F189" s="4"/>
    </row>
    <row r="190">
      <c r="A190" s="58"/>
      <c r="B190" s="4"/>
      <c r="C190" s="4"/>
      <c r="D190" s="4"/>
      <c r="E190" s="4"/>
      <c r="F190" s="4"/>
    </row>
    <row r="191">
      <c r="A191" s="58"/>
      <c r="B191" s="4"/>
      <c r="C191" s="4"/>
      <c r="D191" s="4"/>
      <c r="E191" s="4"/>
      <c r="F191" s="4"/>
    </row>
    <row r="192">
      <c r="A192" s="58"/>
      <c r="B192" s="4"/>
      <c r="C192" s="4"/>
      <c r="D192" s="4"/>
      <c r="E192" s="4"/>
      <c r="F192" s="4"/>
    </row>
    <row r="193">
      <c r="A193" s="58"/>
      <c r="B193" s="4"/>
      <c r="C193" s="4"/>
      <c r="D193" s="4"/>
      <c r="E193" s="4"/>
      <c r="F193" s="4"/>
    </row>
    <row r="194">
      <c r="A194" s="58"/>
      <c r="B194" s="4"/>
      <c r="C194" s="4"/>
      <c r="D194" s="4"/>
      <c r="E194" s="4"/>
      <c r="F194" s="4"/>
    </row>
    <row r="195">
      <c r="A195" s="58"/>
      <c r="B195" s="4"/>
      <c r="C195" s="4"/>
      <c r="D195" s="4"/>
      <c r="E195" s="4"/>
      <c r="F195" s="4"/>
    </row>
    <row r="196">
      <c r="A196" s="58"/>
      <c r="B196" s="4"/>
      <c r="C196" s="4"/>
      <c r="D196" s="4"/>
      <c r="E196" s="4"/>
      <c r="F196" s="4"/>
    </row>
    <row r="197">
      <c r="A197" s="58"/>
      <c r="B197" s="4"/>
      <c r="C197" s="4"/>
      <c r="D197" s="4"/>
      <c r="E197" s="4"/>
      <c r="F197" s="4"/>
    </row>
    <row r="198">
      <c r="A198" s="58"/>
      <c r="B198" s="4"/>
      <c r="C198" s="4"/>
      <c r="D198" s="4"/>
      <c r="E198" s="4"/>
      <c r="F198" s="4"/>
    </row>
    <row r="199">
      <c r="A199" s="58"/>
      <c r="B199" s="4"/>
      <c r="C199" s="4"/>
      <c r="D199" s="4"/>
      <c r="E199" s="4"/>
      <c r="F199" s="4"/>
    </row>
    <row r="200">
      <c r="A200" s="58"/>
      <c r="B200" s="4"/>
      <c r="C200" s="4"/>
      <c r="D200" s="4"/>
      <c r="E200" s="4"/>
      <c r="F200" s="4"/>
    </row>
    <row r="201">
      <c r="A201" s="58"/>
      <c r="B201" s="4"/>
      <c r="C201" s="4"/>
      <c r="D201" s="4"/>
      <c r="E201" s="4"/>
      <c r="F201" s="4"/>
    </row>
    <row r="202">
      <c r="A202" s="58"/>
      <c r="B202" s="4"/>
      <c r="C202" s="4"/>
      <c r="D202" s="4"/>
      <c r="E202" s="4"/>
      <c r="F202" s="4"/>
    </row>
    <row r="203">
      <c r="A203" s="58"/>
      <c r="B203" s="4"/>
      <c r="C203" s="4"/>
      <c r="D203" s="4"/>
      <c r="E203" s="4"/>
      <c r="F203" s="4"/>
    </row>
    <row r="204">
      <c r="A204" s="58"/>
      <c r="B204" s="4"/>
      <c r="C204" s="4"/>
      <c r="D204" s="4"/>
      <c r="E204" s="4"/>
      <c r="F204" s="4"/>
    </row>
    <row r="205">
      <c r="A205" s="58"/>
      <c r="B205" s="4"/>
      <c r="C205" s="4"/>
      <c r="D205" s="4"/>
      <c r="E205" s="4"/>
      <c r="F205" s="4"/>
    </row>
    <row r="206">
      <c r="A206" s="58"/>
      <c r="B206" s="4"/>
      <c r="C206" s="4"/>
      <c r="D206" s="4"/>
      <c r="E206" s="4"/>
      <c r="F206" s="4"/>
    </row>
    <row r="207">
      <c r="A207" s="58"/>
      <c r="B207" s="4"/>
      <c r="C207" s="4"/>
      <c r="D207" s="4"/>
      <c r="E207" s="4"/>
      <c r="F207" s="4"/>
    </row>
    <row r="208">
      <c r="A208" s="58"/>
      <c r="B208" s="4"/>
      <c r="C208" s="4"/>
      <c r="D208" s="4"/>
      <c r="E208" s="4"/>
      <c r="F208" s="4"/>
    </row>
    <row r="209">
      <c r="A209" s="58"/>
      <c r="B209" s="4"/>
      <c r="C209" s="4"/>
      <c r="D209" s="4"/>
      <c r="E209" s="4"/>
      <c r="F209" s="4"/>
    </row>
    <row r="210">
      <c r="A210" s="58"/>
      <c r="B210" s="4"/>
      <c r="C210" s="4"/>
      <c r="D210" s="4"/>
      <c r="E210" s="4"/>
      <c r="F210" s="4"/>
    </row>
    <row r="211">
      <c r="A211" s="58"/>
      <c r="B211" s="4"/>
      <c r="C211" s="4"/>
      <c r="D211" s="4"/>
      <c r="E211" s="4"/>
      <c r="F211" s="4"/>
    </row>
    <row r="212">
      <c r="A212" s="58"/>
      <c r="B212" s="4"/>
      <c r="C212" s="4"/>
      <c r="D212" s="4"/>
      <c r="E212" s="4"/>
      <c r="F212" s="4"/>
    </row>
    <row r="213">
      <c r="A213" s="58"/>
      <c r="B213" s="4"/>
      <c r="C213" s="4"/>
      <c r="D213" s="4"/>
      <c r="E213" s="4"/>
      <c r="F213" s="4"/>
    </row>
    <row r="214">
      <c r="A214" s="58"/>
      <c r="B214" s="4"/>
      <c r="C214" s="4"/>
      <c r="D214" s="4"/>
      <c r="E214" s="4"/>
      <c r="F214" s="4"/>
    </row>
    <row r="215">
      <c r="A215" s="58"/>
      <c r="B215" s="4"/>
      <c r="C215" s="4"/>
      <c r="D215" s="4"/>
      <c r="E215" s="4"/>
      <c r="F215" s="4"/>
    </row>
    <row r="216">
      <c r="A216" s="58"/>
      <c r="B216" s="4"/>
      <c r="C216" s="4"/>
      <c r="D216" s="4"/>
      <c r="E216" s="4"/>
      <c r="F216" s="4"/>
    </row>
    <row r="217">
      <c r="A217" s="58"/>
      <c r="B217" s="4"/>
      <c r="C217" s="4"/>
      <c r="D217" s="4"/>
      <c r="E217" s="4"/>
      <c r="F217" s="4"/>
    </row>
    <row r="218">
      <c r="A218" s="58"/>
      <c r="B218" s="4"/>
      <c r="C218" s="4"/>
      <c r="D218" s="4"/>
      <c r="E218" s="4"/>
      <c r="F218" s="4"/>
    </row>
    <row r="219">
      <c r="A219" s="58"/>
      <c r="B219" s="4"/>
      <c r="C219" s="4"/>
      <c r="D219" s="4"/>
      <c r="E219" s="4"/>
      <c r="F219" s="4"/>
    </row>
    <row r="220">
      <c r="A220" s="58"/>
      <c r="B220" s="4"/>
      <c r="C220" s="4"/>
      <c r="D220" s="4"/>
      <c r="E220" s="4"/>
      <c r="F220" s="4"/>
    </row>
    <row r="221">
      <c r="A221" s="58"/>
      <c r="B221" s="4"/>
      <c r="C221" s="4"/>
      <c r="D221" s="4"/>
      <c r="E221" s="4"/>
      <c r="F221" s="4"/>
    </row>
    <row r="222">
      <c r="A222" s="58"/>
      <c r="B222" s="4"/>
      <c r="C222" s="4"/>
      <c r="D222" s="4"/>
      <c r="E222" s="4"/>
      <c r="F222" s="4"/>
    </row>
    <row r="223">
      <c r="A223" s="58"/>
      <c r="B223" s="4"/>
      <c r="C223" s="4"/>
      <c r="D223" s="4"/>
      <c r="E223" s="4"/>
      <c r="F223" s="4"/>
    </row>
    <row r="224">
      <c r="A224" s="58"/>
      <c r="B224" s="4"/>
      <c r="C224" s="4"/>
      <c r="D224" s="4"/>
      <c r="E224" s="4"/>
      <c r="F224" s="4"/>
    </row>
    <row r="225">
      <c r="A225" s="58"/>
      <c r="B225" s="4"/>
      <c r="C225" s="4"/>
      <c r="D225" s="4"/>
      <c r="E225" s="4"/>
      <c r="F225" s="4"/>
    </row>
    <row r="226">
      <c r="A226" s="58"/>
      <c r="B226" s="4"/>
      <c r="C226" s="4"/>
      <c r="D226" s="4"/>
      <c r="E226" s="4"/>
      <c r="F226" s="4"/>
    </row>
    <row r="227">
      <c r="A227" s="58"/>
      <c r="B227" s="4"/>
      <c r="C227" s="4"/>
      <c r="D227" s="4"/>
      <c r="E227" s="4"/>
      <c r="F227" s="4"/>
    </row>
    <row r="228">
      <c r="A228" s="58"/>
      <c r="B228" s="4"/>
      <c r="C228" s="4"/>
      <c r="D228" s="4"/>
      <c r="E228" s="4"/>
      <c r="F228" s="4"/>
    </row>
    <row r="229">
      <c r="A229" s="58"/>
      <c r="B229" s="4"/>
      <c r="C229" s="4"/>
      <c r="D229" s="4"/>
      <c r="E229" s="4"/>
      <c r="F229" s="4"/>
    </row>
    <row r="230">
      <c r="A230" s="58"/>
      <c r="B230" s="4"/>
      <c r="C230" s="4"/>
      <c r="D230" s="4"/>
      <c r="E230" s="4"/>
      <c r="F230" s="4"/>
    </row>
    <row r="231">
      <c r="A231" s="58"/>
      <c r="B231" s="4"/>
      <c r="C231" s="4"/>
      <c r="D231" s="4"/>
      <c r="E231" s="4"/>
      <c r="F231" s="4"/>
    </row>
    <row r="232">
      <c r="A232" s="58"/>
      <c r="B232" s="4"/>
      <c r="C232" s="4"/>
      <c r="D232" s="4"/>
      <c r="E232" s="4"/>
      <c r="F232" s="4"/>
    </row>
    <row r="233">
      <c r="A233" s="58"/>
      <c r="B233" s="4"/>
      <c r="C233" s="4"/>
      <c r="D233" s="4"/>
      <c r="E233" s="4"/>
      <c r="F233" s="4"/>
    </row>
    <row r="234">
      <c r="A234" s="58"/>
      <c r="B234" s="4"/>
      <c r="C234" s="4"/>
      <c r="D234" s="4"/>
      <c r="E234" s="4"/>
      <c r="F234" s="4"/>
    </row>
    <row r="235">
      <c r="A235" s="58"/>
      <c r="B235" s="4"/>
      <c r="C235" s="4"/>
      <c r="D235" s="4"/>
      <c r="E235" s="4"/>
      <c r="F235" s="4"/>
    </row>
    <row r="236">
      <c r="A236" s="58"/>
      <c r="B236" s="4"/>
      <c r="C236" s="4"/>
      <c r="D236" s="4"/>
      <c r="E236" s="4"/>
      <c r="F236" s="4"/>
    </row>
    <row r="237">
      <c r="A237" s="58"/>
      <c r="B237" s="4"/>
      <c r="C237" s="4"/>
      <c r="D237" s="4"/>
      <c r="E237" s="4"/>
      <c r="F237" s="4"/>
    </row>
    <row r="238">
      <c r="A238" s="58"/>
      <c r="B238" s="4"/>
      <c r="C238" s="4"/>
      <c r="D238" s="4"/>
      <c r="E238" s="4"/>
      <c r="F238" s="4"/>
    </row>
    <row r="239">
      <c r="A239" s="58"/>
      <c r="B239" s="4"/>
      <c r="C239" s="4"/>
      <c r="D239" s="4"/>
      <c r="E239" s="4"/>
      <c r="F239" s="4"/>
    </row>
    <row r="240">
      <c r="A240" s="58"/>
      <c r="B240" s="4"/>
      <c r="C240" s="4"/>
      <c r="D240" s="4"/>
      <c r="E240" s="4"/>
      <c r="F240" s="4"/>
    </row>
    <row r="241">
      <c r="A241" s="58"/>
      <c r="B241" s="4"/>
      <c r="C241" s="4"/>
      <c r="D241" s="4"/>
      <c r="E241" s="4"/>
      <c r="F241" s="4"/>
    </row>
    <row r="242">
      <c r="A242" s="58"/>
      <c r="B242" s="4"/>
      <c r="C242" s="4"/>
      <c r="D242" s="4"/>
      <c r="E242" s="4"/>
      <c r="F242" s="4"/>
    </row>
    <row r="243">
      <c r="A243" s="58"/>
      <c r="B243" s="4"/>
      <c r="C243" s="4"/>
      <c r="D243" s="4"/>
      <c r="E243" s="4"/>
      <c r="F243" s="4"/>
    </row>
    <row r="244">
      <c r="A244" s="58"/>
      <c r="B244" s="4"/>
      <c r="C244" s="4"/>
      <c r="D244" s="4"/>
      <c r="E244" s="4"/>
      <c r="F244" s="4"/>
    </row>
    <row r="245">
      <c r="A245" s="58"/>
      <c r="B245" s="4"/>
      <c r="C245" s="4"/>
      <c r="D245" s="4"/>
      <c r="E245" s="4"/>
      <c r="F245" s="4"/>
    </row>
    <row r="246">
      <c r="A246" s="58"/>
      <c r="B246" s="4"/>
      <c r="C246" s="4"/>
      <c r="D246" s="4"/>
      <c r="E246" s="4"/>
      <c r="F246" s="4"/>
    </row>
    <row r="247">
      <c r="A247" s="58"/>
      <c r="B247" s="4"/>
      <c r="C247" s="4"/>
      <c r="D247" s="4"/>
      <c r="E247" s="4"/>
      <c r="F247" s="4"/>
    </row>
    <row r="248">
      <c r="A248" s="58"/>
      <c r="B248" s="4"/>
      <c r="C248" s="4"/>
      <c r="D248" s="4"/>
      <c r="E248" s="4"/>
      <c r="F248" s="4"/>
    </row>
    <row r="249">
      <c r="A249" s="58"/>
      <c r="B249" s="4"/>
      <c r="C249" s="4"/>
      <c r="D249" s="4"/>
      <c r="E249" s="4"/>
      <c r="F249" s="4"/>
    </row>
    <row r="250">
      <c r="A250" s="58"/>
      <c r="B250" s="4"/>
      <c r="C250" s="4"/>
      <c r="D250" s="4"/>
      <c r="E250" s="4"/>
      <c r="F250" s="4"/>
    </row>
    <row r="251">
      <c r="A251" s="58"/>
      <c r="B251" s="4"/>
      <c r="C251" s="4"/>
      <c r="D251" s="4"/>
      <c r="E251" s="4"/>
      <c r="F251" s="4"/>
    </row>
    <row r="252">
      <c r="A252" s="58"/>
      <c r="B252" s="4"/>
      <c r="C252" s="4"/>
      <c r="D252" s="4"/>
      <c r="E252" s="4"/>
      <c r="F252" s="4"/>
    </row>
    <row r="253">
      <c r="A253" s="58"/>
      <c r="B253" s="4"/>
      <c r="C253" s="4"/>
      <c r="D253" s="4"/>
      <c r="E253" s="4"/>
      <c r="F253" s="4"/>
    </row>
    <row r="254">
      <c r="A254" s="58"/>
      <c r="B254" s="4"/>
      <c r="C254" s="4"/>
      <c r="D254" s="4"/>
      <c r="E254" s="4"/>
      <c r="F254" s="4"/>
    </row>
    <row r="255">
      <c r="A255" s="58"/>
      <c r="B255" s="4"/>
      <c r="C255" s="4"/>
      <c r="D255" s="4"/>
      <c r="E255" s="4"/>
      <c r="F255" s="4"/>
    </row>
    <row r="256">
      <c r="A256" s="58"/>
      <c r="B256" s="4"/>
      <c r="C256" s="4"/>
      <c r="D256" s="4"/>
      <c r="E256" s="4"/>
      <c r="F256" s="4"/>
    </row>
    <row r="257">
      <c r="A257" s="58"/>
      <c r="B257" s="4"/>
      <c r="C257" s="4"/>
      <c r="D257" s="4"/>
      <c r="E257" s="4"/>
      <c r="F257" s="4"/>
    </row>
    <row r="258">
      <c r="A258" s="58"/>
      <c r="B258" s="4"/>
      <c r="C258" s="4"/>
      <c r="D258" s="4"/>
      <c r="E258" s="4"/>
      <c r="F258" s="4"/>
    </row>
    <row r="259">
      <c r="A259" s="58"/>
      <c r="B259" s="4"/>
      <c r="C259" s="4"/>
      <c r="D259" s="4"/>
      <c r="E259" s="4"/>
      <c r="F259" s="4"/>
    </row>
    <row r="260">
      <c r="A260" s="58"/>
      <c r="B260" s="4"/>
      <c r="C260" s="4"/>
      <c r="D260" s="4"/>
      <c r="E260" s="4"/>
      <c r="F260" s="4"/>
    </row>
    <row r="261">
      <c r="A261" s="58"/>
      <c r="B261" s="4"/>
      <c r="C261" s="4"/>
      <c r="D261" s="4"/>
      <c r="E261" s="4"/>
      <c r="F261" s="4"/>
    </row>
    <row r="262">
      <c r="A262" s="58"/>
      <c r="B262" s="4"/>
      <c r="C262" s="4"/>
      <c r="D262" s="4"/>
      <c r="E262" s="4"/>
      <c r="F262" s="4"/>
    </row>
    <row r="263">
      <c r="A263" s="58"/>
      <c r="B263" s="4"/>
      <c r="C263" s="4"/>
      <c r="D263" s="4"/>
      <c r="E263" s="4"/>
      <c r="F263" s="4"/>
    </row>
    <row r="264">
      <c r="A264" s="58"/>
      <c r="B264" s="4"/>
      <c r="C264" s="4"/>
      <c r="D264" s="4"/>
      <c r="E264" s="4"/>
      <c r="F264" s="4"/>
    </row>
    <row r="265">
      <c r="A265" s="58"/>
      <c r="B265" s="4"/>
      <c r="C265" s="4"/>
      <c r="D265" s="4"/>
      <c r="E265" s="4"/>
      <c r="F265" s="4"/>
    </row>
    <row r="266">
      <c r="A266" s="58"/>
      <c r="B266" s="4"/>
      <c r="C266" s="4"/>
      <c r="D266" s="4"/>
      <c r="E266" s="4"/>
      <c r="F266" s="4"/>
    </row>
    <row r="267">
      <c r="A267" s="58"/>
      <c r="B267" s="4"/>
      <c r="C267" s="4"/>
      <c r="D267" s="4"/>
      <c r="E267" s="4"/>
      <c r="F267" s="4"/>
    </row>
    <row r="268">
      <c r="A268" s="58"/>
      <c r="B268" s="4"/>
      <c r="C268" s="4"/>
      <c r="D268" s="4"/>
      <c r="E268" s="4"/>
      <c r="F268" s="4"/>
    </row>
    <row r="269">
      <c r="A269" s="58"/>
      <c r="B269" s="4"/>
      <c r="C269" s="4"/>
      <c r="D269" s="4"/>
      <c r="E269" s="4"/>
      <c r="F269" s="4"/>
    </row>
    <row r="270">
      <c r="A270" s="58"/>
      <c r="B270" s="4"/>
      <c r="C270" s="4"/>
      <c r="D270" s="4"/>
      <c r="E270" s="4"/>
      <c r="F270" s="4"/>
    </row>
    <row r="271">
      <c r="A271" s="58"/>
      <c r="B271" s="4"/>
      <c r="C271" s="4"/>
      <c r="D271" s="4"/>
      <c r="E271" s="4"/>
      <c r="F271" s="4"/>
    </row>
    <row r="272">
      <c r="A272" s="58"/>
      <c r="B272" s="4"/>
      <c r="C272" s="4"/>
      <c r="D272" s="4"/>
      <c r="E272" s="4"/>
      <c r="F272" s="4"/>
    </row>
    <row r="273">
      <c r="A273" s="58"/>
      <c r="B273" s="4"/>
      <c r="C273" s="4"/>
      <c r="D273" s="4"/>
      <c r="E273" s="4"/>
      <c r="F273" s="4"/>
    </row>
    <row r="274">
      <c r="A274" s="58"/>
      <c r="B274" s="4"/>
      <c r="C274" s="4"/>
      <c r="D274" s="4"/>
      <c r="E274" s="4"/>
      <c r="F274" s="4"/>
    </row>
    <row r="275">
      <c r="A275" s="58"/>
      <c r="B275" s="4"/>
      <c r="C275" s="4"/>
      <c r="D275" s="4"/>
      <c r="E275" s="4"/>
      <c r="F275" s="4"/>
    </row>
    <row r="276">
      <c r="A276" s="58"/>
      <c r="B276" s="4"/>
      <c r="C276" s="4"/>
      <c r="D276" s="4"/>
      <c r="E276" s="4"/>
      <c r="F276" s="4"/>
    </row>
    <row r="277">
      <c r="A277" s="58"/>
      <c r="B277" s="4"/>
      <c r="C277" s="4"/>
      <c r="D277" s="4"/>
      <c r="E277" s="4"/>
      <c r="F277" s="4"/>
    </row>
    <row r="278">
      <c r="A278" s="58"/>
      <c r="B278" s="4"/>
      <c r="C278" s="4"/>
      <c r="D278" s="4"/>
      <c r="E278" s="4"/>
      <c r="F278" s="4"/>
    </row>
    <row r="279">
      <c r="A279" s="58"/>
      <c r="B279" s="4"/>
      <c r="C279" s="4"/>
      <c r="D279" s="4"/>
      <c r="E279" s="4"/>
      <c r="F279" s="4"/>
    </row>
    <row r="280">
      <c r="A280" s="58"/>
      <c r="B280" s="4"/>
      <c r="C280" s="4"/>
      <c r="D280" s="4"/>
      <c r="E280" s="4"/>
      <c r="F280" s="4"/>
    </row>
    <row r="281">
      <c r="A281" s="58"/>
      <c r="B281" s="4"/>
      <c r="C281" s="4"/>
      <c r="D281" s="4"/>
      <c r="E281" s="4"/>
      <c r="F281" s="4"/>
    </row>
    <row r="282">
      <c r="A282" s="58"/>
      <c r="B282" s="4"/>
      <c r="C282" s="4"/>
      <c r="D282" s="4"/>
      <c r="E282" s="4"/>
      <c r="F282" s="4"/>
    </row>
    <row r="283">
      <c r="A283" s="58"/>
      <c r="B283" s="4"/>
      <c r="C283" s="4"/>
      <c r="D283" s="4"/>
      <c r="E283" s="4"/>
      <c r="F283" s="4"/>
    </row>
    <row r="284">
      <c r="A284" s="58"/>
      <c r="B284" s="4"/>
      <c r="C284" s="4"/>
      <c r="D284" s="4"/>
      <c r="E284" s="4"/>
      <c r="F284" s="4"/>
    </row>
    <row r="285">
      <c r="A285" s="58"/>
      <c r="B285" s="4"/>
      <c r="C285" s="4"/>
      <c r="D285" s="4"/>
      <c r="E285" s="4"/>
      <c r="F285" s="4"/>
    </row>
    <row r="286">
      <c r="A286" s="58"/>
      <c r="B286" s="4"/>
      <c r="C286" s="4"/>
      <c r="D286" s="4"/>
      <c r="E286" s="4"/>
      <c r="F286" s="4"/>
    </row>
    <row r="287">
      <c r="A287" s="58"/>
      <c r="B287" s="4"/>
      <c r="C287" s="4"/>
      <c r="D287" s="4"/>
      <c r="E287" s="4"/>
      <c r="F287" s="4"/>
    </row>
    <row r="288">
      <c r="A288" s="58"/>
      <c r="B288" s="4"/>
      <c r="C288" s="4"/>
      <c r="D288" s="4"/>
      <c r="E288" s="4"/>
      <c r="F288" s="4"/>
    </row>
    <row r="289">
      <c r="A289" s="58"/>
      <c r="B289" s="4"/>
      <c r="C289" s="4"/>
      <c r="D289" s="4"/>
      <c r="E289" s="4"/>
      <c r="F289" s="4"/>
    </row>
    <row r="290">
      <c r="A290" s="58"/>
      <c r="B290" s="4"/>
      <c r="C290" s="4"/>
      <c r="D290" s="4"/>
      <c r="E290" s="4"/>
      <c r="F290" s="4"/>
    </row>
    <row r="291">
      <c r="A291" s="58"/>
      <c r="B291" s="4"/>
      <c r="C291" s="4"/>
      <c r="D291" s="4"/>
      <c r="E291" s="4"/>
      <c r="F291" s="4"/>
    </row>
    <row r="292">
      <c r="A292" s="58"/>
      <c r="B292" s="4"/>
      <c r="C292" s="4"/>
      <c r="D292" s="4"/>
      <c r="E292" s="4"/>
      <c r="F292" s="4"/>
    </row>
    <row r="293">
      <c r="A293" s="58"/>
      <c r="B293" s="4"/>
      <c r="C293" s="4"/>
      <c r="D293" s="4"/>
      <c r="E293" s="4"/>
      <c r="F293" s="4"/>
    </row>
    <row r="294">
      <c r="A294" s="58"/>
      <c r="B294" s="4"/>
      <c r="C294" s="4"/>
      <c r="D294" s="4"/>
      <c r="E294" s="4"/>
      <c r="F294" s="4"/>
    </row>
    <row r="295">
      <c r="A295" s="58"/>
      <c r="B295" s="4"/>
      <c r="C295" s="4"/>
      <c r="D295" s="4"/>
      <c r="E295" s="4"/>
      <c r="F295" s="4"/>
    </row>
    <row r="296">
      <c r="A296" s="58"/>
      <c r="B296" s="4"/>
      <c r="C296" s="4"/>
      <c r="D296" s="4"/>
      <c r="E296" s="4"/>
      <c r="F296" s="4"/>
    </row>
    <row r="297">
      <c r="A297" s="58"/>
      <c r="B297" s="4"/>
      <c r="C297" s="4"/>
      <c r="D297" s="4"/>
      <c r="E297" s="4"/>
      <c r="F297" s="4"/>
    </row>
    <row r="298">
      <c r="A298" s="58"/>
      <c r="B298" s="4"/>
      <c r="C298" s="4"/>
      <c r="D298" s="4"/>
      <c r="E298" s="4"/>
      <c r="F298" s="4"/>
    </row>
    <row r="299">
      <c r="A299" s="58"/>
      <c r="B299" s="4"/>
      <c r="C299" s="4"/>
      <c r="D299" s="4"/>
      <c r="E299" s="4"/>
      <c r="F299" s="4"/>
    </row>
    <row r="300">
      <c r="A300" s="58"/>
      <c r="B300" s="4"/>
      <c r="C300" s="4"/>
      <c r="D300" s="4"/>
      <c r="E300" s="4"/>
      <c r="F300" s="4"/>
    </row>
  </sheetData>
  <conditionalFormatting sqref="A2:F1000">
    <cfRule type="expression" dxfId="5" priority="1" stopIfTrue="1">
      <formula>$E2="OK"</formula>
    </cfRule>
  </conditionalFormatting>
  <conditionalFormatting sqref="A2:F1000">
    <cfRule type="expression" dxfId="6" priority="2" stopIfTrue="1">
      <formula>$E2="OMITIDO"</formula>
    </cfRule>
  </conditionalFormatting>
  <conditionalFormatting sqref="A2:F1000">
    <cfRule type="expression" dxfId="7" priority="3" stopIfTrue="1">
      <formula>$E2="PREVIA"</formula>
    </cfRule>
  </conditionalFormatting>
  <conditionalFormatting sqref="A2:F1000">
    <cfRule type="expression" dxfId="8" priority="4" stopIfTrue="1">
      <formula>$E2="ERROR"</formula>
    </cfRule>
  </conditionalFormatting>
  <autoFilter ref="$A$1:$F$300"/>
  <drawing ns1:id="rId1"/>
</worksheet>
</file>

<file path=xl/worksheets/sheet7.xml><?xml version="1.0" encoding="utf-8"?>
<worksheet xmlns="http://schemas.openxmlformats.org/spreadsheetml/2006/main">
  <dimension ref="A1:B15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88" customWidth="1"/>
  </cols>
  <sheetData>
    <row r="1" ht="26" customHeight="1">
      <c r="A1" t="inlineStr" s="17">
        <is>
          <t>MANUAL DE USO Y MANTENIMIENTO</t>
        </is>
      </c>
    </row>
    <row r="2" ht="28" customHeight="1">
      <c r="A2" t="inlineStr" s="35">
        <is>
          <t>Antes de usar</t>
        </is>
      </c>
      <c r="B2" t="inlineStr" s="36">
        <is>
          <t>Trabaja sobre esta version y conserva el original como respaldo.</t>
        </is>
      </c>
    </row>
    <row r="3" ht="28" customHeight="1">
      <c r="A3" t="inlineStr" s="35">
        <is>
          <t>Configuracion</t>
        </is>
      </c>
      <c r="B3" t="inlineStr" s="36">
        <is>
          <t>Revisa ModoPrueba, CorreoPrueba, AdjuntoDefaultId y CapPorCorrida antes de cada corrida.</t>
        </is>
      </c>
    </row>
    <row r="4" ht="28" customHeight="1">
      <c r="A4" t="inlineStr" s="35">
        <is>
          <t>Carga</t>
        </is>
      </c>
      <c r="B4" t="inlineStr" s="36">
        <is>
          <t>Completa Email, Empresa, Contacto, Frecuencia y TemplateKey. No cambies encabezados ni nombres de hojas.</t>
        </is>
      </c>
    </row>
    <row r="5" ht="28" customHeight="1">
      <c r="A5" t="inlineStr" s="35">
        <is>
          <t>Import</t>
        </is>
      </c>
      <c r="B5" t="inlineStr" s="36">
        <is>
          <t>Usa Import para carga masiva y Postulaciones para control fino y seguimiento.</t>
        </is>
      </c>
    </row>
    <row r="6" ht="28" customHeight="1">
      <c r="A6" t="inlineStr" s="35">
        <is>
          <t>Pruebas</t>
        </is>
      </c>
      <c r="B6" t="inlineStr" s="36">
        <is>
          <t>Marca Probar solo en una fila por vez y valida el resultado en Historial.</t>
        </is>
      </c>
    </row>
    <row r="7" ht="28" customHeight="1">
      <c r="A7" t="inlineStr" s="35">
        <is>
          <t>Envio</t>
        </is>
      </c>
      <c r="B7" t="inlineStr" s="36">
        <is>
          <t>Usa Enviar solo cuando la fila este completa y con la frecuencia correcta.</t>
        </is>
      </c>
    </row>
    <row r="8" ht="28" customHeight="1">
      <c r="A8" t="inlineStr" s="35">
        <is>
          <t>Mensajes</t>
        </is>
      </c>
      <c r="B8" t="inlineStr" s="36">
        <is>
          <t>Si agregas plantillas nuevas, usa una Clave unica y manten coherentes los placeholders.</t>
        </is>
      </c>
    </row>
    <row r="9" ht="28" customHeight="1">
      <c r="A9" t="inlineStr" s="35">
        <is>
          <t>Historial</t>
        </is>
      </c>
      <c r="B9" t="inlineStr" s="36">
        <is>
          <t>Revisa OK, OMITIDO y errores despues de cada corrida para detectar problemas temprano.</t>
        </is>
      </c>
    </row>
    <row r="10" ht="28" customHeight="1">
      <c r="A10" t="inlineStr" s="35">
        <is>
          <t>Mantenimiento</t>
        </is>
      </c>
      <c r="B10" t="inlineStr" s="36">
        <is>
          <t>Evita pegar miles de filas vacias. Si hace falta crecer, amplia rangos de forma ordenada.</t>
        </is>
      </c>
    </row>
    <row r="11" ht="28" customHeight="1">
      <c r="A11" t="inlineStr" s="35">
        <is>
          <t>Respaldo</t>
        </is>
      </c>
      <c r="B11" t="inlineStr" s="36">
        <is>
          <t>Antes de cambios grandes, duplica el archivo o trabaja sobre una copia nueva.</t>
        </is>
      </c>
    </row>
    <row r="12" ht="28" customHeight="1">
      <c r="A12" t="inlineStr" s="24">
        <is>
          <t>Version recomendada</t>
        </is>
      </c>
      <c r="B12" t="inlineStr" s="24">
        <is>
          <t>Esta hoja fue agregada en la version v8 para que el manual quede dentro del libro.</t>
        </is>
      </c>
    </row>
  </sheetData>
  <autoFilter ref="$A$1:$B$12"/>
  <mergeCells count="1">
    <mergeCell ref="A1:B1"/>
  </mergeCells>
</worksheet>
</file>