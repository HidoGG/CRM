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7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sheets>
    <ns0:sheet state="visible" name="Inicio" sheetId="1" ns1:id="rId5"/>
    <ns0:sheet state="visible" name="Import" sheetId="2" ns1:id="rId6"/>
    <ns0:sheet state="visible" name="Postulaciones" sheetId="3" ns1:id="rId7"/>
    <ns0:sheet state="visible" name="Configuración" sheetId="4" ns1:id="rId8"/>
    <ns0:sheet state="visible" name="Mensajes" sheetId="5" ns1:id="rId9"/>
    <ns0:sheet state="visible" name="Historial" sheetId="6" ns1:id="rId10"/>
    <ns0:sheet name="Manual" sheetId="7" ns1:id="rId11"/>
  </ns0:sheets>
  <ns0:definedNames>
    <ns0:definedName hidden="1" localSheetId="2" name="_xlnm._FilterDatabase">Postulaciones!$A$3:$K$4</ns0:definedName>
  </ns0:definedNames>
  <ns0:calcPr calcMode="auto" fullCalcOnLoad="1" forceFullCalc="1"/>
</ns0: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<sst xmlns="http://schemas.openxmlformats.org/spreadsheetml/2006/main" count="100" uniqueCount="100">
  <si>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</si>
  <si>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</si>
  <si>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</si>
  <si>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</si>
  <si>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</si>
  <si>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</si>
  <si>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</si>
  <si>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</si>
  <si>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</si>
  <si>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</si>
  <si>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</si>
  <si>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</si>
  <si>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</si>
  <si>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</si>
  <si>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</si>
  <si>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</si>
  <si>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</si>
  <si>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</si>
  <si>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</si>
  <si>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</si>
  <si>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</si>
  <si>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</si>
  <si>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</si>
  <si>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</si>
  <si>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</si>
  <si>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</si>
  <si>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</si>
  <si>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</si>
  <si>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</si>
  <si>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</si>
  <si>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</si>
  <si>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</si>
  <si>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</si>
  <si>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</si>
  <si>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</si>
  <si>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</si>
  <si>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</si>
  <si>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</si>
  <si>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</si>
  <si>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</si>
  <si>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</si>
  <si>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</si>
  <si>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</si>
  <si>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</si>
  <si>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</si>
  <si>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</si>
  <si>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</si>
  <si>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</si>
  <si>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</si>
  <si>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</si>
  <si>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</si>
  <si>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Gabriel Hidalgo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</si>
  <si>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</si>
  <si>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</si>
  <si>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</si>
  <si>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</si>
  <si>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</si>
  <si>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</si>
  <si>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</si>
  <si>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</si>
  <si>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</si>
  <si>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</si>
  <si>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</si>
  <si>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</si>
  <si>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</si>
  <si>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</si>
  <si>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</si>
  <si>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</si>
  <si>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</si>
  <si>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</si>
  <si>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</si>
  <si>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</si>
  <si>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</si>
  <si>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</si>
  <si>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</si>
  <si>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</si>
  <si>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</si>
  <si>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</si>
  <si>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</si>
  <si>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</si>
  <si>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</si>
  <si>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</si>
  <si>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</si>
  <si>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</si>
  <si>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</si>
  <si>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</si>
  <si>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</si>
  <si>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</si>
  <si>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</si>
  <si>
    <t>CONTROLES RECOMENDADOS</t>
  </si>
  <si>
    <t>1.</t>
  </si>
  <si>
    <t>Us? ModoPrueba y CorreoPrueba en Configuraci?n si quer?s validar sin enviar a empresas reales.</t>
  </si>
  <si>
    <t>2.</t>
  </si>
  <si>
    <t>Manten? actualizados los TemplateKey y evit? editar encabezados o nombres de hojas.</t>
  </si>
  <si>
    <t>3.</t>
  </si>
  <si>
    <t>Revis? Historial despu?s de cada corrida para detectar OMITIDO, errores o fechas inconsistentes.</t>
  </si>
  <si>
    <t>Panel operativo para mailing laboral y seguimiento de postulaciones</t>
  </si>
  <si>
    <t>Revis? Configuraci?n, Mensajes y el archivo adjunto antes de usar la planilla.</t>
  </si>
  <si>
    <t>Carg? empresas en Import o complet? directamente Postulaciones con los datos clave.</t>
  </si>
  <si>
    <t>Marc? Enviar o Probar, y control? resultados y fechas desde Historial.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</si>
</sst>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microsoft.com/office/2017/10/relationships/person" Target="persons/person.xml" /><ns0:Relationship Id="rId10" Type="http://schemas.openxmlformats.org/officeDocument/2006/relationships/worksheet" Target="worksheets/sheet6.xml" /><ns0:Relationship Id="rId9" Type="http://schemas.openxmlformats.org/officeDocument/2006/relationships/worksheet" Target="worksheets/sheet5.xml" /><ns0:Relationship Id="rId5" Type="http://schemas.openxmlformats.org/officeDocument/2006/relationships/worksheet" Target="worksheets/sheet1.xml" /><ns0:Relationship Id="rId6" Type="http://schemas.openxmlformats.org/officeDocument/2006/relationships/worksheet" Target="worksheets/sheet2.xml" /><ns0:Relationship Id="rId7" Type="http://schemas.openxmlformats.org/officeDocument/2006/relationships/worksheet" Target="worksheets/sheet3.xml" /><ns0:Relationship Id="rId8" Type="http://schemas.openxmlformats.org/officeDocument/2006/relationships/worksheet" Target="worksheets/sheet4.xml" /><ns0:Relationship Id="rId11" Type="http://schemas.openxmlformats.org/officeDocument/2006/relationships/worksheet" Target="worksheets/sheet7.xml" />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ns1="http://schemas.openxmlformats.org/officeDocument/2006/relationships">
  <dimension ref="A1:M50"/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3" width="30.13"/>
    <col customWidth="1" min="4" max="4" width="22.63"/>
    <col customWidth="1" min="5" max="5" width="17.63"/>
    <col customWidth="1" min="6" max="6" width="15.13"/>
    <col customWidth="1" min="7" max="7" width="20.13"/>
    <col customWidth="1" min="8" max="8" width="40.13"/>
    <col customWidth="1" min="9" max="9" width="13.88"/>
    <col customWidth="1" min="10" max="10" width="45.13"/>
    <col customWidth="1" min="11" max="11" width="7.63"/>
  </cols>
  <sheetData>
    <row r="1" ht="39.0" customHeight="1">
      <c r="A1" s="1" t="s">
        <v>0</v>
      </c>
    </row>
    <row r="2" ht="21.0" customHeight="1">
      <c r="A2" s="2" t="s">
        <v>96</v>
      </c>
    </row>
    <row r="3" ht="12.0" customHeight="1">
      <c r="A3" s="3"/>
      <c r="M3" s="4" t="s">
        <v>2</v>
      </c>
    </row>
    <row r="4" ht="34.5" customHeight="1">
      <c r="A4" s="3"/>
      <c r="B4" s="3"/>
      <c r="C4" s="5" t="s">
        <v>3</v>
      </c>
      <c r="J4" s="3"/>
      <c r="K4" s="3"/>
      <c r="L4" s="4" t="s">
        <v>4</v>
      </c>
      <c r="M4" s="4" t="s">
        <v>5</v>
      </c>
    </row>
    <row r="5" ht="12.0" customHeight="1">
      <c r="A5" s="3"/>
    </row>
    <row r="6" ht="19.5" customHeight="1">
      <c r="A6" s="3"/>
      <c r="B6" s="3"/>
      <c r="C6" s="6" t="s">
        <v>6</v>
      </c>
      <c r="J6" s="3"/>
      <c r="K6" s="3"/>
    </row>
    <row r="7" ht="28.5" customHeight="1">
      <c r="A7" s="3"/>
      <c r="B7" s="7"/>
      <c r="C7" s="8" t="str">
        <f>HYPERLINK("#'Postulaciones'!A3","Postulaciones")</f>
        <v>📋 Postulaciones</v>
      </c>
      <c r="D7" s="7"/>
      <c r="E7" s="8" t="str">
        <f>HYPERLINK("#'Historial'!A1","Historial")</f>
        <v>📋 Historial</v>
      </c>
      <c r="F7" s="3"/>
      <c r="G7" s="8" t="str">
        <f>HYPERLINK("#'Mensajes'!A1","Mensajes")</f>
        <v>✉️ Mensajes</v>
      </c>
      <c r="H7" s="7"/>
      <c r="I7" s="8" t="str">
        <f>HYPERLINK("#'Configuraci?n'!A1","Configuraci?n")</f>
        <v>⚙ Configuración</v>
      </c>
      <c r="J7" s="7"/>
      <c r="K7" s="3"/>
    </row>
    <row r="8" ht="1.5" customHeight="1">
      <c r="A8" s="9"/>
      <c r="B8" s="10"/>
      <c r="C8" s="10"/>
      <c r="D8" s="10"/>
      <c r="E8" s="10"/>
      <c r="F8" s="9"/>
      <c r="G8" s="10"/>
      <c r="H8" s="9"/>
      <c r="I8" s="10" t="b">
        <v>0</v>
      </c>
      <c r="J8" s="10"/>
      <c r="K8" s="9"/>
    </row>
    <row r="9" ht="22.5" customHeight="1">
      <c r="A9" s="3"/>
      <c r="B9" s="11" t="s">
        <v>7</v>
      </c>
      <c r="J9" s="3"/>
      <c r="K9" s="3"/>
    </row>
    <row r="10" ht="13.5" customHeight="1">
      <c r="A10" s="3"/>
      <c r="B10" s="12" t="str">
        <f>"Total"&amp;CHAR(10)&amp;TEXT(COUNTA(Postulaciones!B4:B203),"0")</f>
        <v>Total
0</v>
      </c>
      <c r="D10" s="13" t="str">
        <f>"Enviadas"&amp;CHAR(10)&amp;TEXT(COUNTIF(Historial!E2:E300,"OK"),"0")</f>
        <v>Enviadas
7</v>
      </c>
      <c r="F10" s="14" t="str">
        <f>"Omitidas"&amp;CHAR(10)&amp;TEXT(COUNTIF(Historial!E2:E300,"OMITIDO"),"0")</f>
        <v>Omitidas
119</v>
      </c>
      <c r="H10" s="15" t="str">
        <f>IFERROR("Empresas"&amp;CHAR(10)&amp;TEXT(SUMPRODUCT((Postulaciones!C4:C203&lt;&gt;"")/COUNTIF(Postulaciones!C4:C203,Postulaciones!C4:C203&amp;"")),"0"),"Empresas"&amp;CHAR(10)&amp;"0")</f>
        <v>Empresas
0</v>
      </c>
      <c r="J10" s="3"/>
      <c r="K10" s="3"/>
    </row>
    <row r="11" ht="19.5" customHeight="1">
      <c r="A11" s="3"/>
      <c r="J11" s="3"/>
      <c r="K11" s="3"/>
    </row>
    <row r="12" ht="13.5" customHeight="1">
      <c r="A12" s="3"/>
      <c r="J12" s="3"/>
      <c r="K12" s="3"/>
    </row>
    <row r="13" ht="3.0" customHeight="1">
      <c r="A13" s="3"/>
      <c r="B13" s="16"/>
      <c r="J13" s="3"/>
      <c r="K13" s="3"/>
    </row>
    <row r="14" ht="21.0" customHeight="1">
      <c r="A14" s="3"/>
      <c r="B14" s="17" t="s">
        <v>8</v>
      </c>
      <c r="J14" s="3"/>
      <c r="K14" s="3"/>
    </row>
    <row r="15" ht="19.5" customHeight="1">
      <c r="A15" s="3"/>
      <c r="B15" s="18" t="s">
        <v>9</v>
      </c>
      <c r="C15" s="19" t="s">
        <v>97</v>
      </c>
      <c r="J15" s="3"/>
      <c r="K15" s="3"/>
    </row>
    <row r="16" ht="19.5" customHeight="1">
      <c r="A16" s="3"/>
      <c r="B16" s="18" t="s">
        <v>11</v>
      </c>
      <c r="C16" s="19" t="s">
        <v>98</v>
      </c>
      <c r="J16" s="3"/>
      <c r="K16" s="3"/>
    </row>
    <row r="17" ht="19.5" customHeight="1">
      <c r="A17" s="3"/>
      <c r="B17" s="18" t="s">
        <v>13</v>
      </c>
      <c r="C17" s="19" t="s">
        <v>99</v>
      </c>
      <c r="J17" s="3"/>
      <c r="K17" s="3"/>
    </row>
    <row r="18" ht="1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1.0" customHeight="1">
      <c r="A20" s="3"/>
      <c r="B20" s="17" t="s">
        <v>89</v>
      </c>
      <c r="C20" s="7"/>
      <c r="D20" s="7"/>
      <c r="E20" s="7"/>
      <c r="F20" s="7"/>
      <c r="G20" s="7"/>
      <c r="H20" s="7"/>
      <c r="I20" s="7"/>
      <c r="J20" s="7"/>
      <c r="K20" s="7"/>
    </row>
    <row r="21" ht="19.5" customHeight="1">
      <c r="A21" s="3"/>
      <c r="B21" s="18" t="s">
        <v>90</v>
      </c>
      <c r="C21" s="19" t="s">
        <v>91</v>
      </c>
      <c r="D21" s="3"/>
      <c r="E21" s="3"/>
      <c r="F21" s="3"/>
      <c r="G21" s="3"/>
      <c r="H21" s="3"/>
      <c r="I21" s="3"/>
      <c r="J21" s="3"/>
      <c r="K21" s="3"/>
    </row>
    <row r="22" ht="19.5" customHeight="1">
      <c r="A22" s="3"/>
      <c r="B22" s="18" t="s">
        <v>92</v>
      </c>
      <c r="C22" s="19" t="s">
        <v>93</v>
      </c>
      <c r="D22" s="3"/>
      <c r="E22" s="3"/>
      <c r="F22" s="3"/>
      <c r="G22" s="3"/>
      <c r="H22" s="3"/>
      <c r="I22" s="3"/>
      <c r="J22" s="3"/>
      <c r="K22" s="3"/>
    </row>
    <row r="23" ht="19.5" customHeight="1">
      <c r="A23" s="3"/>
      <c r="B23" s="18" t="s">
        <v>94</v>
      </c>
      <c r="C23" s="19" t="s">
        <v>95</v>
      </c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20">
    <mergeCell ref="A1:K1"/>
    <mergeCell ref="A2:K2"/>
    <mergeCell ref="A3:K3"/>
    <mergeCell ref="C4:I4"/>
    <mergeCell ref="A5:K5"/>
    <mergeCell ref="C6:I6"/>
    <mergeCell ref="B9:I9"/>
    <mergeCell ref="C16:I16"/>
    <mergeCell ref="C17:I17"/>
    <mergeCell ref="B10:C12"/>
    <mergeCell ref="D10:E12"/>
    <mergeCell ref="F10:G12"/>
    <mergeCell ref="H10:I12"/>
    <mergeCell ref="B13:I13"/>
    <mergeCell ref="B14:I14"/>
    <mergeCell ref="C15:I15"/>
    <mergeCell ref="B20:I20"/>
    <mergeCell ref="C21:I21"/>
    <mergeCell ref="C22:I22"/>
    <mergeCell ref="C23:I23"/>
  </mergeCells>
  <dataValidations>
    <dataValidation type="list" allowBlank="1" sqref="E8">
      <formula1>"Semanal,Quincenal,Mensual"</formula1>
    </dataValidation>
    <dataValidation type="list" allowBlank="1" sqref="G8">
      <formula1>"cv_tecnico_general,cv_experiencia_sin_titulo,cv_ingeniero_junior,seguimiento_7_dias,reactivacion_rrhh,presentacion_oilgas"</formula1>
    </dataValidation>
  </dataValidations>
  <drawing ns1:id="rId2"/>
  <legacyDrawing ns1:id="rId3"/>
</worksheet>
</file>

<file path=xl/worksheets/sheet2.xml><?xml version="1.0" encoding="utf-8"?>
<worksheet xmlns="http://schemas.openxmlformats.org/spreadsheetml/2006/main" xmlns:ns1="http://schemas.openxmlformats.org/officeDocument/2006/relationships">
  <dimension ref="A1:H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0.13"/>
    <col customWidth="1" min="4" max="4" width="15.13"/>
    <col customWidth="1" min="5" max="5" width="17.63"/>
    <col customWidth="1" min="6" max="6" width="32.63"/>
    <col customWidth="1" min="7" max="7" width="12.63"/>
    <col customWidth="1" min="8" max="8" width="40.1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</row>
    <row r="2">
      <c r="D2" s="21"/>
    </row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</sheetData>
  <autoFilter ref="$A$1:$H$101"/>
  <dataValidations count="5">
    <dataValidation allowBlank="1" showErrorMessage="1" showInputMessage="1" sqref="A2:A101" type="custom" errorTitle="Email inv?lido" error="Ingres? un email con formato v?lido." promptTitle="Email" prompt="Us? un correo como nombre@empresa.com">
      <formula1>OR(A2="",AND(ISNUMBER(SEARCH("@",A2)),ISNUMBER(SEARCH(".",A2)),LEN(A2)&gt;=5))</formula1>
    </dataValidation>
    <dataValidation allowBlank="1" showErrorMessage="1" showInputMessage="1" sqref="D2:D101" type="list" errorTitle="Frecuencia inv?lida" error="Eleg? una frecuencia de la lista." promptTitle="Frecuencia" prompt="Eleg? cada cu?nto quer?s contactar a la empresa.">
      <formula1>"Diaria,Semanal,Quincenal,Mensual"</formula1>
    </dataValidation>
    <dataValidation allowBlank="1" showErrorMessage="1" showInputMessage="1" sqref="E2:E101" type="list" errorTitle="Plantilla inv?lida" error="Eleg? una plantilla existente." promptTitle="Template" prompt="Seleccion? la clave del mensaje a usar.">
      <formula1>"cv_tecnico_general,cv_experiencia_sin_titulo,cv_ingeniero_junior,seguimiento_7_dias,reactivacion_rrhh,presentacion_oilgas"</formula1>
    </dataValidation>
    <dataValidation allowBlank="1" showErrorMessage="1" showInputMessage="1" sqref="G2:G101" type="list" errorTitle="Valor inv?lido" error="Us? TRUE o FALSE." promptTitle="Adjuntar" prompt="TRUE adjunta el CV; FALSE no adjunta archivo.">
      <formula1>"TRUE,FALSE"</formula1>
    </dataValidation>
    <dataValidation allowBlank="1" showErrorMessage="1" showInputMessage="1" sqref="H2:H101" type="custom" errorTitle="Adjunto inv?lido" error="Dej? vac?o o carg? un ID/ruta de adjunto v?lido." promptTitle="Adjunto" prompt="Pod?s dejarlo vac?o para usar el adjunto por defecto.">
      <formula1>OR(H2="",LEN(H2)&gt;=10)</formula1>
    </dataValidation>
  </dataValidations>
  <drawing ns1:id="rId1"/>
</worksheet>
</file>

<file path=xl/worksheets/sheet3.xml><?xml version="1.0" encoding="utf-8"?>
<worksheet xmlns="http://schemas.openxmlformats.org/spreadsheetml/2006/main" xmlns:ns1="http://schemas.openxmlformats.org/officeDocument/2006/relationships">
  <dimension ref="A1:K203"/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</sheetData>
  <autoFilter ref="$A$3:$K$203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 count="7">
    <dataValidation allowBlank="1" showErrorMessage="1" showInputMessage="1" sqref="A4:A203" type="list" errorTitle="Valor inv?lido" error="Us? TRUE o FALSE para marcar env?o." promptTitle="Enviar" prompt="TRUE marca la fila para env?o autom?tico.">
      <formula1>"TRUE,FALSE"</formula1>
    </dataValidation>
    <dataValidation allowBlank="1" showErrorMessage="1" showInputMessage="1" sqref="B4:B203" type="custom" errorTitle="Email inv?lido" error="Ingres? un email con formato v?lido." promptTitle="Email" prompt="Correo de destino de la postulaci?n.">
      <formula1>OR(B4="",AND(ISNUMBER(SEARCH("@",B4)),ISNUMBER(SEARCH(".",B4)),LEN(B4)&gt;=5))</formula1>
    </dataValidation>
    <dataValidation allowBlank="1" showErrorMessage="1" showInputMessage="1" sqref="E4:E203" type="list" errorTitle="Frecuencia inv?lida" error="Eleg? una frecuencia v?lida." promptTitle="Frecuencia" prompt="Eleg? la periodicidad del contacto.">
      <formula1>"Diaria,Semanal,Quincenal,Mensual"</formula1>
    </dataValidation>
    <dataValidation allowBlank="1" showErrorMessage="1" showInputMessage="1" sqref="F4:F203" type="custom" errorTitle="Fecha inv?lida" error="Us? una fecha v?lida o dej? la celda vac?a." promptTitle="?ltimo env?o" prompt="Fecha del ?ltimo contacto realizado.">
      <formula1>OR(F4="",NOT(ISERROR(DATEVALUE(F4))),AND(ISNUMBER(F4),LEFT(CELL("format",F4))="D"))</formula1>
    </dataValidation>
    <dataValidation allowBlank="1" showErrorMessage="1" showInputMessage="1" sqref="G4:G203" type="list" errorTitle="Plantilla inv?lida" error="Eleg? una plantilla existente." promptTitle="Template" prompt="Seleccion? la clave del mensaje a enviar.">
      <formula1>"cv_tecnico_general,cv_experiencia_sin_titulo,cv_ingeniero_junior,seguimiento_7_dias,reactivacion_rrhh,presentacion_oilgas"</formula1>
    </dataValidation>
    <dataValidation allowBlank="1" showErrorMessage="1" showInputMessage="1" sqref="I4:I203" type="list" errorTitle="Valor inv?lido" error="Us? TRUE o FALSE." promptTitle="Adjuntar" prompt="TRUE adjunta CV; FALSE no adjunta archivo.">
      <formula1>"TRUE,FALSE"</formula1>
    </dataValidation>
    <dataValidation allowBlank="1" showErrorMessage="1" showInputMessage="1" sqref="K4:K203" type="list" errorTitle="Valor inv?lido" error="Us? TRUE o FALSE." promptTitle="Probar" prompt="Marc? TRUE solo en una fila para pruebas.">
      <formula1>"TRUE,FALSE"</formula1>
    </dataValidation>
  </dataValidations>
  <drawing ns1:id="rId2"/>
  <legacyDrawing ns1:id="rId3"/>
</worksheet>
</file>

<file path=xl/worksheets/sheet4.xml><?xml version="1.0" encoding="utf-8"?>
<worksheet xmlns="http://schemas.openxmlformats.org/spreadsheetml/2006/main" xmlns:ns1="http://schemas.openxmlformats.org/officeDocument/2006/relationships">
  <dimension ref="A1:B5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3.88"/>
  </cols>
  <sheetData>
    <row r="1" ht="24.0" customHeight="1">
      <c r="A1" s="35" t="s">
        <v>33</v>
      </c>
      <c r="B1" s="35" t="s">
        <v>34</v>
      </c>
    </row>
    <row r="2" ht="21.0" customHeight="1">
      <c r="A2" s="36" t="s">
        <v>35</v>
      </c>
      <c r="B2" s="37" t="s">
        <v>36</v>
      </c>
    </row>
    <row r="3" ht="21.0" customHeight="1">
      <c r="A3" s="36" t="s">
        <v>37</v>
      </c>
      <c r="B3" s="38" t="s">
        <v>38</v>
      </c>
    </row>
    <row r="4" ht="21.0" customHeight="1">
      <c r="A4" s="36" t="s">
        <v>39</v>
      </c>
      <c r="B4" s="37" t="s">
        <v>27</v>
      </c>
    </row>
    <row r="5" ht="21.0" customHeight="1">
      <c r="A5" s="36" t="s">
        <v>40</v>
      </c>
      <c r="B5" s="37">
        <v>0.0</v>
      </c>
    </row>
  </sheetData>
  <dataValidations>
    <dataValidation type="list" allowBlank="1" showErrorMessage="1" sqref="B3">
      <formula1>"SI,NO"</formula1>
    </dataValidation>
  </dataValidations>
  <drawing ns1:id="rId1"/>
</worksheet>
</file>

<file path=xl/worksheets/sheet5.xml><?xml version="1.0" encoding="utf-8"?>
<worksheet xmlns="http://schemas.openxmlformats.org/spreadsheetml/2006/main" xmlns:ns1="http://schemas.openxmlformats.org/officeDocument/2006/relationships">
  <dimension ref="A1:F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</sheetData>
  <autoFilter ref="$A$1:$C$101"/>
  <mergeCells count="1">
    <mergeCell ref="C7:F7"/>
  </mergeCells>
  <drawing ns1:id="rId1"/>
</worksheet>
</file>

<file path=xl/worksheets/sheet6.xml><?xml version="1.0" encoding="utf-8"?>
<worksheet xmlns="http://schemas.openxmlformats.org/spreadsheetml/2006/main" xmlns:ns1="http://schemas.openxmlformats.org/officeDocument/2006/relationships">
  <dimension ref="A1:F300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autoFilter ref="$A$1:$F$300"/>
  <drawing ns1:id="rId1"/>
</worksheet>
</file>

<file path=xl/worksheets/sheet7.xml><?xml version="1.0" encoding="utf-8"?>
<ns0:worksheet xmlns:ns0="http://schemas.openxmlformats.org/spreadsheetml/2006/main">
  <ns0:dimension ref="A1:B15"/>
  <ns0:sheetViews>
    <ns0:sheetView workbookViewId="0">
      <ns0:pane ySplit="1" topLeftCell="A2" activePane="bottomLeft" state="frozen"/>
    </ns0:sheetView>
  </ns0:sheetViews>
  <ns0:sheetFormatPr defaultRowHeight="15"/>
  <ns0:cols>
    <ns0:col min="1" max="1" width="18" customWidth="1"/>
    <ns0:col min="2" max="2" width="95" customWidth="1"/>
  </ns0:cols>
  <ns0:sheetData>
    <ns0:row r="1">
      <ns0:c r="A1" t="inlineStr" s="17">
        <ns0:is>
          <ns0:t>MANUAL</ns0:t>
        </ns0:is>
      </ns0:c>
      <ns0:c r="B1" t="inlineStr" s="17">
        <ns0:is>
          <ns0:t>Guia de uso y mantenimiento</ns0:t>
        </ns0:is>
      </ns0:c>
    </ns0:row>
    <ns0:row r="2">
      <ns0:c r="A2" t="inlineStr" s="35">
        <ns0:is>
          <ns0:t>Antes de usar</ns0:t>
        </ns0:is>
      </ns0:c>
      <ns0:c r="B2" t="inlineStr" s="36">
        <ns0:is>
          <ns0:t>Trabaja sobre esta version y conserva el original como respaldo.</ns0:t>
        </ns0:is>
      </ns0:c>
    </ns0:row>
    <ns0:row r="3">
      <ns0:c r="A3" t="inlineStr" s="35">
        <ns0:is>
          <ns0:t>Configuracion</ns0:t>
        </ns0:is>
      </ns0:c>
      <ns0:c r="B3" t="inlineStr" s="36">
        <ns0:is>
          <ns0:t>Revisa ModoPrueba, CorreoPrueba, AdjuntoDefaultId y CapPorCorrida antes de cada corrida.</ns0:t>
        </ns0:is>
      </ns0:c>
    </ns0:row>
    <ns0:row r="4">
      <ns0:c r="A4" t="inlineStr" s="35">
        <ns0:is>
          <ns0:t>Carga</ns0:t>
        </ns0:is>
      </ns0:c>
      <ns0:c r="B4" t="inlineStr" s="36">
        <ns0:is>
          <ns0:t>Completa Email, Empresa, Contacto, Frecuencia y TemplateKey. No cambies encabezados ni nombres de hojas.</ns0:t>
        </ns0:is>
      </ns0:c>
    </ns0:row>
    <ns0:row r="5">
      <ns0:c r="A5" t="inlineStr" s="35">
        <ns0:is>
          <ns0:t>Import</ns0:t>
        </ns0:is>
      </ns0:c>
      <ns0:c r="B5" t="inlineStr" s="36">
        <ns0:is>
          <ns0:t>Usa Import para carga masiva y Postulaciones para control fino y seguimiento.</ns0:t>
        </ns0:is>
      </ns0:c>
    </ns0:row>
    <ns0:row r="6">
      <ns0:c r="A6" t="inlineStr" s="35">
        <ns0:is>
          <ns0:t>Pruebas</ns0:t>
        </ns0:is>
      </ns0:c>
      <ns0:c r="B6" t="inlineStr" s="36">
        <ns0:is>
          <ns0:t>Marca Probar solo en una fila por vez y valida el resultado en Historial.</ns0:t>
        </ns0:is>
      </ns0:c>
    </ns0:row>
    <ns0:row r="7">
      <ns0:c r="A7" t="inlineStr" s="35">
        <ns0:is>
          <ns0:t>Envio</ns0:t>
        </ns0:is>
      </ns0:c>
      <ns0:c r="B7" t="inlineStr" s="36">
        <ns0:is>
          <ns0:t>Usa Enviar solo cuando la fila este completa y con la frecuencia correcta.</ns0:t>
        </ns0:is>
      </ns0:c>
    </ns0:row>
    <ns0:row r="8">
      <ns0:c r="A8" t="inlineStr" s="35">
        <ns0:is>
          <ns0:t>Mensajes</ns0:t>
        </ns0:is>
      </ns0:c>
      <ns0:c r="B8" t="inlineStr" s="36">
        <ns0:is>
          <ns0:t>Si agregas plantillas nuevas, usa una Clave unica y manten coherentes los placeholders.</ns0:t>
        </ns0:is>
      </ns0:c>
    </ns0:row>
    <ns0:row r="9">
      <ns0:c r="A9" t="inlineStr" s="35">
        <ns0:is>
          <ns0:t>Historial</ns0:t>
        </ns0:is>
      </ns0:c>
      <ns0:c r="B9" t="inlineStr" s="36">
        <ns0:is>
          <ns0:t>Revisa OK, OMITIDO y errores despues de cada corrida para detectar problemas temprano.</ns0:t>
        </ns0:is>
      </ns0:c>
    </ns0:row>
    <ns0:row r="10">
      <ns0:c r="A10" t="inlineStr" s="35">
        <ns0:is>
          <ns0:t>Mantenimiento</ns0:t>
        </ns0:is>
      </ns0:c>
      <ns0:c r="B10" t="inlineStr" s="36">
        <ns0:is>
          <ns0:t>Evita pegar miles de filas vacias. Si hace falta crecer, amplia rangos de forma ordenada.</ns0:t>
        </ns0:is>
      </ns0:c>
    </ns0:row>
    <ns0:row r="11">
      <ns0:c r="A11" t="inlineStr" s="35">
        <ns0:is>
          <ns0:t>Respaldo</ns0:t>
        </ns0:is>
      </ns0:c>
      <ns0:c r="B11" t="inlineStr" s="36">
        <ns0:is>
          <ns0:t>Antes de cambios grandes, duplica el archivo o trabaja sobre una copia nueva.</ns0:t>
        </ns0:is>
      </ns0:c>
    </ns0:row>
    <ns0:row r="12">
      <ns0:c r="A12" t="inlineStr" s="35">
        <ns0:is>
          <ns0:t>Version recomendada</ns0:t>
        </ns0:is>
      </ns0:c>
      <ns0:c r="B12" t="inlineStr" s="36">
        <ns0:is>
          <ns0:t>Esta hoja fue agregada en la version v8 para que el manual quede dentro del libro.</ns0:t>
        </ns0:is>
      </ns0:c>
    </ns0:row>
  </ns0:sheetData>
  <ns0:autoFilter ref="$A$1:$B$12"/>
</ns0:worksheet>
</file>